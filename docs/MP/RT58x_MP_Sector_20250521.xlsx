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6115" windowHeight="11385" firstSheet="4" activeTab="7"/>
  </bookViews>
  <sheets>
    <sheet name="Summary" sheetId="4" r:id="rId1"/>
    <sheet name="RT584_Flash_Layout" sheetId="9" r:id="rId2"/>
    <sheet name="RT58x_Flash_Layout" sheetId="18" r:id="rId3"/>
    <sheet name="RT58x_Calibration data(4K)" sheetId="8" r:id="rId4"/>
    <sheet name="RT584_Security_page" sheetId="7" r:id="rId5"/>
    <sheet name="RT58x_Security_page" sheetId="15" r:id="rId6"/>
    <sheet name="RT584_PMU_Default_Setting" sheetId="11" r:id="rId7"/>
    <sheet name="RT584_OTP_1_and_OTP2_layout" sheetId="13" r:id="rId8"/>
    <sheet name="RT58x_Mpsector_Info" sheetId="16" r:id="rId9"/>
    <sheet name="RT584_Mpsector_Info" sheetId="14"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8" l="1"/>
  <c r="G215" i="8"/>
  <c r="G189" i="8"/>
  <c r="G196" i="8"/>
  <c r="G203" i="8"/>
  <c r="G217" i="8"/>
  <c r="G210" i="8"/>
  <c r="G182" i="8"/>
  <c r="G175" i="8"/>
  <c r="G168" i="8"/>
  <c r="G161" i="8"/>
  <c r="G154" i="8"/>
  <c r="G147" i="8"/>
  <c r="G140" i="8"/>
  <c r="G133" i="8"/>
  <c r="G126" i="8"/>
  <c r="G119" i="8"/>
  <c r="G112" i="8"/>
  <c r="G105" i="8"/>
  <c r="G98" i="8"/>
  <c r="G91" i="8"/>
  <c r="G84" i="8"/>
  <c r="G77" i="8"/>
  <c r="G70" i="8"/>
  <c r="G63" i="8"/>
  <c r="G56" i="8"/>
  <c r="G49" i="8"/>
  <c r="G42" i="8"/>
  <c r="G35" i="8"/>
  <c r="G28" i="8"/>
  <c r="G21" i="8"/>
  <c r="G14" i="8"/>
  <c r="G7" i="8"/>
  <c r="E215" i="8" l="1"/>
  <c r="E187" i="8"/>
  <c r="F187" i="8"/>
  <c r="G187" i="8" s="1"/>
  <c r="H187" i="8" s="1"/>
  <c r="I187" i="8" s="1"/>
  <c r="J187" i="8" s="1"/>
  <c r="K187" i="8" s="1"/>
  <c r="L187" i="8" s="1"/>
  <c r="M187" i="8" s="1"/>
  <c r="N187" i="8" s="1"/>
  <c r="O187" i="8" s="1"/>
  <c r="P187" i="8" s="1"/>
  <c r="Q187" i="8" s="1"/>
  <c r="R187" i="8" s="1"/>
  <c r="S187" i="8" s="1"/>
  <c r="T187" i="8" s="1"/>
  <c r="U187" i="8" s="1"/>
  <c r="V187" i="8" s="1"/>
  <c r="W187" i="8" s="1"/>
  <c r="X187" i="8" s="1"/>
  <c r="Y187" i="8" s="1"/>
  <c r="Z187" i="8" s="1"/>
  <c r="AA187" i="8" s="1"/>
  <c r="AB187" i="8" s="1"/>
  <c r="AC187" i="8" s="1"/>
  <c r="E194" i="8" s="1"/>
  <c r="F194" i="8" s="1"/>
  <c r="G194" i="8" s="1"/>
  <c r="H194" i="8" s="1"/>
  <c r="I194" i="8" s="1"/>
  <c r="J194" i="8" s="1"/>
  <c r="K194" i="8" s="1"/>
  <c r="L194" i="8" s="1"/>
  <c r="M194" i="8" s="1"/>
  <c r="N194" i="8" s="1"/>
  <c r="O194" i="8" s="1"/>
  <c r="P194" i="8" s="1"/>
  <c r="Q194" i="8" s="1"/>
  <c r="R194" i="8" s="1"/>
  <c r="S194" i="8" s="1"/>
  <c r="T194" i="8" s="1"/>
  <c r="U194" i="8" s="1"/>
  <c r="V194" i="8" s="1"/>
  <c r="W194" i="8" s="1"/>
  <c r="X194" i="8" s="1"/>
  <c r="Y194" i="8" s="1"/>
  <c r="Z194" i="8" s="1"/>
  <c r="AA194" i="8" s="1"/>
  <c r="AB194" i="8" s="1"/>
  <c r="AC194" i="8" s="1"/>
  <c r="E201" i="8" s="1"/>
  <c r="F201" i="8" s="1"/>
  <c r="G201" i="8" s="1"/>
  <c r="H201" i="8" s="1"/>
  <c r="I201" i="8" s="1"/>
  <c r="J201" i="8" s="1"/>
  <c r="K201" i="8" s="1"/>
  <c r="L201" i="8" s="1"/>
  <c r="M201" i="8" s="1"/>
  <c r="N201" i="8" s="1"/>
  <c r="O201" i="8" s="1"/>
  <c r="P201" i="8" s="1"/>
  <c r="Q201" i="8" s="1"/>
  <c r="R201" i="8" s="1"/>
  <c r="S201" i="8" s="1"/>
  <c r="T201" i="8" s="1"/>
  <c r="U201" i="8" s="1"/>
  <c r="V201" i="8" s="1"/>
  <c r="W201" i="8" s="1"/>
  <c r="X201" i="8" s="1"/>
  <c r="Y201" i="8" s="1"/>
  <c r="Z201" i="8" s="1"/>
  <c r="AA201" i="8" s="1"/>
  <c r="AB201" i="8" s="1"/>
  <c r="AC201" i="8" s="1"/>
  <c r="E208" i="8" s="1"/>
  <c r="F208" i="8" s="1"/>
  <c r="G208" i="8" s="1"/>
  <c r="H208" i="8" s="1"/>
  <c r="I208" i="8" s="1"/>
  <c r="J208" i="8" l="1"/>
  <c r="K208" i="8" s="1"/>
  <c r="L208" i="8" s="1"/>
  <c r="M208" i="8" s="1"/>
  <c r="N208" i="8" s="1"/>
  <c r="O208" i="8" s="1"/>
  <c r="P208" i="8" s="1"/>
  <c r="Q208" i="8" s="1"/>
  <c r="R208" i="8" s="1"/>
  <c r="S208" i="8" s="1"/>
  <c r="T208" i="8" s="1"/>
  <c r="U208" i="8" s="1"/>
  <c r="V208" i="8" s="1"/>
  <c r="W208" i="8" s="1"/>
  <c r="X208" i="8" s="1"/>
  <c r="Y208" i="8" s="1"/>
  <c r="Z208" i="8" s="1"/>
  <c r="AA208" i="8" s="1"/>
  <c r="AB208" i="8" s="1"/>
  <c r="AC208" i="8" s="1"/>
  <c r="F215" i="8"/>
  <c r="H215" i="8" s="1"/>
  <c r="I215" i="8" s="1"/>
  <c r="J215" i="8" s="1"/>
  <c r="K215" i="8" s="1"/>
  <c r="L215" i="8" s="1"/>
  <c r="M215" i="8" s="1"/>
  <c r="N215" i="8" s="1"/>
  <c r="O215" i="8" s="1"/>
  <c r="P215" i="8" s="1"/>
  <c r="Q215" i="8" s="1"/>
  <c r="R215" i="8" s="1"/>
  <c r="S215" i="8" s="1"/>
  <c r="T215" i="8" s="1"/>
  <c r="U215" i="8" s="1"/>
  <c r="V215" i="8" s="1"/>
  <c r="W215" i="8" s="1"/>
  <c r="X215" i="8" s="1"/>
  <c r="Y215" i="8" s="1"/>
  <c r="Z215" i="8" s="1"/>
  <c r="AA215" i="8" s="1"/>
  <c r="AB215" i="8" s="1"/>
  <c r="AC215" i="8" s="1"/>
  <c r="F5" i="8" l="1"/>
  <c r="G5" i="8" s="1"/>
  <c r="H5" i="8" s="1"/>
  <c r="I5" i="8" s="1"/>
  <c r="J5" i="8" s="1"/>
  <c r="K5" i="8" s="1"/>
  <c r="L5" i="8" s="1"/>
  <c r="M5" i="8" s="1"/>
  <c r="N5" i="8" s="1"/>
  <c r="O5" i="8" s="1"/>
  <c r="P5" i="8" s="1"/>
  <c r="Q5" i="8" s="1"/>
  <c r="R5" i="8" s="1"/>
  <c r="S5" i="8" s="1"/>
  <c r="E12" i="8" s="1"/>
  <c r="F12" i="8" s="1"/>
  <c r="H12" i="8" s="1"/>
  <c r="I12" i="8" s="1"/>
  <c r="J12" i="8" s="1"/>
  <c r="K12" i="8" s="1"/>
  <c r="L12" i="8" s="1"/>
  <c r="M12" i="8" s="1"/>
  <c r="N12" i="8" s="1"/>
  <c r="O12" i="8" s="1"/>
  <c r="P12" i="8" s="1"/>
  <c r="Q12" i="8" s="1"/>
  <c r="R12" i="8" s="1"/>
  <c r="S12" i="8" s="1"/>
  <c r="E19" i="8" s="1"/>
  <c r="F19" i="8" s="1"/>
  <c r="G19" i="8" s="1"/>
  <c r="H19" i="8" s="1"/>
  <c r="I19" i="8" s="1"/>
  <c r="J19" i="8" s="1"/>
  <c r="K19" i="8" s="1"/>
  <c r="L19" i="8" s="1"/>
  <c r="M19" i="8" s="1"/>
  <c r="N19" i="8" s="1"/>
  <c r="O19" i="8" s="1"/>
  <c r="P19" i="8" s="1"/>
  <c r="Q19" i="8" s="1"/>
  <c r="R19" i="8" s="1"/>
  <c r="S19" i="8" s="1"/>
  <c r="E26" i="8" s="1"/>
  <c r="F26" i="8" s="1"/>
  <c r="G26" i="8" s="1"/>
  <c r="H26" i="8" s="1"/>
  <c r="I26" i="8" s="1"/>
  <c r="J26" i="8" s="1"/>
  <c r="K26" i="8" s="1"/>
  <c r="L26" i="8" s="1"/>
  <c r="M26" i="8" s="1"/>
  <c r="N26" i="8" s="1"/>
  <c r="O26" i="8" s="1"/>
  <c r="P26" i="8" s="1"/>
  <c r="Q26" i="8" s="1"/>
  <c r="R26" i="8" s="1"/>
  <c r="S26" i="8" s="1"/>
  <c r="E33" i="8" s="1"/>
  <c r="F33" i="8" s="1"/>
  <c r="G33" i="8" s="1"/>
  <c r="H33" i="8" s="1"/>
  <c r="I33" i="8" s="1"/>
  <c r="J33" i="8" s="1"/>
  <c r="K33" i="8" s="1"/>
  <c r="L33" i="8" s="1"/>
  <c r="M33" i="8" s="1"/>
  <c r="N33" i="8" s="1"/>
  <c r="O33" i="8" s="1"/>
  <c r="P33" i="8" s="1"/>
  <c r="Q33" i="8" s="1"/>
  <c r="R33" i="8" s="1"/>
  <c r="S33" i="8" s="1"/>
  <c r="E40" i="8" s="1"/>
  <c r="F40" i="8" s="1"/>
  <c r="G40" i="8" s="1"/>
  <c r="H40" i="8" s="1"/>
  <c r="I40" i="8" s="1"/>
  <c r="J40" i="8" s="1"/>
  <c r="K40" i="8" s="1"/>
  <c r="L40" i="8" s="1"/>
  <c r="M40" i="8" s="1"/>
  <c r="N40" i="8" s="1"/>
  <c r="O40" i="8" s="1"/>
  <c r="P40" i="8" s="1"/>
  <c r="Q40" i="8" s="1"/>
  <c r="R40" i="8" s="1"/>
  <c r="E47" i="8" s="1"/>
  <c r="F47" i="8" s="1"/>
  <c r="G47" i="8" s="1"/>
  <c r="H47" i="8" s="1"/>
  <c r="I47" i="8" s="1"/>
  <c r="J47" i="8" s="1"/>
  <c r="K47" i="8" s="1"/>
  <c r="L47" i="8" s="1"/>
  <c r="M47" i="8" s="1"/>
  <c r="N47" i="8" s="1"/>
  <c r="O47" i="8" s="1"/>
  <c r="P47" i="8" s="1"/>
  <c r="Q47" i="8" s="1"/>
  <c r="R47" i="8" s="1"/>
  <c r="E54" i="8" s="1"/>
  <c r="F54" i="8" s="1"/>
  <c r="G54" i="8" s="1"/>
  <c r="H54" i="8" s="1"/>
  <c r="I54" i="8" l="1"/>
  <c r="J54" i="8" s="1"/>
  <c r="E61" i="8" s="1"/>
  <c r="F61" i="8" s="1"/>
  <c r="G61" i="8" s="1"/>
  <c r="H61" i="8" s="1"/>
  <c r="I61" i="8" l="1"/>
  <c r="E68" i="8" s="1"/>
  <c r="F68" i="8" s="1"/>
  <c r="G68" i="8" s="1"/>
  <c r="H68" i="8" s="1"/>
  <c r="I68" i="8" s="1"/>
  <c r="J68" i="8" l="1"/>
  <c r="K68" i="8" s="1"/>
  <c r="L68" i="8" s="1"/>
  <c r="M68" i="8" s="1"/>
  <c r="N68" i="8" s="1"/>
  <c r="O68" i="8" s="1"/>
  <c r="P68" i="8" s="1"/>
  <c r="Q68" i="8" s="1"/>
  <c r="R68" i="8" s="1"/>
  <c r="S68" i="8" s="1"/>
  <c r="E75" i="8" s="1"/>
  <c r="F75" i="8" s="1"/>
  <c r="G75" i="8" s="1"/>
  <c r="H75" i="8" s="1"/>
  <c r="I75" i="8" s="1"/>
  <c r="E82" i="8" s="1"/>
  <c r="F82" i="8" s="1"/>
  <c r="G82" i="8" s="1"/>
  <c r="H82" i="8" s="1"/>
  <c r="I82" i="8" s="1"/>
  <c r="E89" i="8" s="1"/>
  <c r="F89" i="8" s="1"/>
  <c r="G89" i="8" s="1"/>
  <c r="H89" i="8" s="1"/>
  <c r="I89" i="8" s="1"/>
  <c r="J89" i="8" s="1"/>
  <c r="K89" i="8" s="1"/>
  <c r="L89" i="8" s="1"/>
  <c r="M89" i="8" s="1"/>
  <c r="N89" i="8" s="1"/>
  <c r="O89" i="8" s="1"/>
  <c r="P89" i="8" s="1"/>
  <c r="E96" i="8" s="1"/>
  <c r="F96" i="8" s="1"/>
  <c r="G96" i="8" s="1"/>
  <c r="H96" i="8" s="1"/>
  <c r="I96" i="8" s="1"/>
  <c r="J96" i="8" s="1"/>
  <c r="K96" i="8" s="1"/>
  <c r="L96" i="8" s="1"/>
  <c r="M96" i="8" s="1"/>
  <c r="N96" i="8" s="1"/>
  <c r="O96" i="8" s="1"/>
  <c r="P96" i="8" s="1"/>
  <c r="E103" i="8" s="1"/>
  <c r="F103" i="8" s="1"/>
  <c r="G103" i="8" s="1"/>
  <c r="H103" i="8" s="1"/>
  <c r="I103" i="8" s="1"/>
  <c r="J103" i="8" s="1"/>
  <c r="K103" i="8" s="1"/>
  <c r="L103" i="8" s="1"/>
  <c r="M103" i="8" s="1"/>
  <c r="N103" i="8" s="1"/>
  <c r="O103" i="8" s="1"/>
  <c r="P103" i="8" s="1"/>
  <c r="E110" i="8" s="1"/>
  <c r="F110" i="8" s="1"/>
  <c r="G110" i="8" s="1"/>
  <c r="H110" i="8" s="1"/>
  <c r="I110" i="8" s="1"/>
  <c r="J110" i="8" s="1"/>
  <c r="K110" i="8" s="1"/>
  <c r="L110" i="8" s="1"/>
  <c r="M110" i="8" s="1"/>
  <c r="N110" i="8" s="1"/>
  <c r="O110" i="8" s="1"/>
  <c r="P110" i="8" s="1"/>
  <c r="E117" i="8" l="1"/>
  <c r="F117" i="8" s="1"/>
  <c r="G117" i="8" s="1"/>
  <c r="H117" i="8" s="1"/>
  <c r="I117" i="8" s="1"/>
  <c r="J117" i="8" s="1"/>
  <c r="K117" i="8" s="1"/>
  <c r="L117" i="8" s="1"/>
  <c r="M117" i="8" l="1"/>
  <c r="E124" i="8" l="1"/>
  <c r="F124" i="8" s="1"/>
  <c r="G124" i="8" s="1"/>
  <c r="H124" i="8" s="1"/>
  <c r="I124" i="8" s="1"/>
  <c r="J124" i="8" s="1"/>
  <c r="K124" i="8" s="1"/>
  <c r="L124" i="8" s="1"/>
  <c r="M124" i="8" s="1"/>
  <c r="E131" i="8" s="1"/>
  <c r="F131" i="8" s="1"/>
  <c r="G131" i="8" s="1"/>
  <c r="H131" i="8" s="1"/>
  <c r="I131" i="8" s="1"/>
  <c r="E138" i="8" s="1"/>
  <c r="F138" i="8" s="1"/>
  <c r="G138" i="8" s="1"/>
  <c r="H138" i="8" s="1"/>
  <c r="I138" i="8" s="1"/>
  <c r="J138" i="8" s="1"/>
  <c r="K138" i="8" s="1"/>
  <c r="L138" i="8" s="1"/>
  <c r="E145" i="8" s="1"/>
  <c r="F145" i="8" s="1"/>
  <c r="G145" i="8" s="1"/>
  <c r="H145" i="8" s="1"/>
  <c r="I145" i="8" s="1"/>
  <c r="J145" i="8" s="1"/>
  <c r="K145" i="8" s="1"/>
  <c r="L145" i="8" s="1"/>
  <c r="M145" i="8" s="1"/>
  <c r="N145" i="8" s="1"/>
  <c r="O145" i="8" s="1"/>
  <c r="P145" i="8" s="1"/>
  <c r="E152" i="8" s="1"/>
  <c r="F152" i="8" s="1"/>
  <c r="G152" i="8" s="1"/>
  <c r="H152" i="8" s="1"/>
  <c r="I152" i="8" s="1"/>
  <c r="J152" i="8" s="1"/>
  <c r="K152" i="8" s="1"/>
  <c r="L152" i="8" s="1"/>
  <c r="M152" i="8" s="1"/>
  <c r="E159" i="8" s="1"/>
  <c r="F159" i="8" l="1"/>
  <c r="G159" i="8" s="1"/>
  <c r="H159" i="8" s="1"/>
  <c r="I159" i="8" s="1"/>
  <c r="J159" i="8" s="1"/>
  <c r="K159" i="8" s="1"/>
  <c r="L159" i="8" s="1"/>
  <c r="M159" i="8" s="1"/>
  <c r="N159" i="8" s="1"/>
  <c r="O159" i="8" s="1"/>
  <c r="P159" i="8" s="1"/>
  <c r="Q159" i="8" s="1"/>
  <c r="R159" i="8" s="1"/>
  <c r="S159" i="8" s="1"/>
  <c r="E166" i="8" s="1"/>
  <c r="F166" i="8" s="1"/>
  <c r="G166" i="8" s="1"/>
  <c r="H166" i="8" s="1"/>
  <c r="I166" i="8" s="1"/>
  <c r="J166" i="8" s="1"/>
  <c r="K166" i="8" s="1"/>
  <c r="L166" i="8" s="1"/>
  <c r="M166" i="8" s="1"/>
  <c r="N166" i="8" s="1"/>
  <c r="O166" i="8" s="1"/>
  <c r="P166" i="8" s="1"/>
  <c r="Q166" i="8" s="1"/>
  <c r="R166" i="8" s="1"/>
  <c r="S166" i="8" s="1"/>
  <c r="E173" i="8" s="1"/>
  <c r="F173" i="8" s="1"/>
  <c r="G173" i="8" s="1"/>
  <c r="H173" i="8" s="1"/>
  <c r="I173" i="8" s="1"/>
  <c r="J173" i="8" s="1"/>
  <c r="K173" i="8" s="1"/>
  <c r="E180" i="8" s="1"/>
  <c r="F180" i="8" s="1"/>
  <c r="G180" i="8" s="1"/>
  <c r="H180" i="8" s="1"/>
  <c r="I180" i="8" s="1"/>
  <c r="J180" i="8" s="1"/>
  <c r="K180" i="8" s="1"/>
  <c r="L180" i="8" s="1"/>
</calcChain>
</file>

<file path=xl/sharedStrings.xml><?xml version="1.0" encoding="utf-8"?>
<sst xmlns="http://schemas.openxmlformats.org/spreadsheetml/2006/main" count="2142" uniqueCount="902">
  <si>
    <t>flag</t>
    <phoneticPr fontId="1" type="noConversion"/>
  </si>
  <si>
    <t>vosel_1</t>
    <phoneticPr fontId="1" type="noConversion"/>
  </si>
  <si>
    <t>voltage_1</t>
    <phoneticPr fontId="1" type="noConversion"/>
  </si>
  <si>
    <t>voltage_2</t>
    <phoneticPr fontId="1" type="noConversion"/>
  </si>
  <si>
    <t>vosel_2</t>
    <phoneticPr fontId="1" type="noConversion"/>
  </si>
  <si>
    <t>select</t>
    <phoneticPr fontId="1" type="noConversion"/>
  </si>
  <si>
    <t>target vosel_1</t>
    <phoneticPr fontId="1" type="noConversion"/>
  </si>
  <si>
    <t>target voltage_3</t>
    <phoneticPr fontId="1" type="noConversion"/>
  </si>
  <si>
    <t>DCDC</t>
    <phoneticPr fontId="1" type="noConversion"/>
  </si>
  <si>
    <t>Index 0 (U8)</t>
    <phoneticPr fontId="1" type="noConversion"/>
  </si>
  <si>
    <t>Index 1 (U16)</t>
    <phoneticPr fontId="1" type="noConversion"/>
  </si>
  <si>
    <t>Index 3 (U16)</t>
    <phoneticPr fontId="1" type="noConversion"/>
  </si>
  <si>
    <t>Index 6 (U16)</t>
    <phoneticPr fontId="1" type="noConversion"/>
  </si>
  <si>
    <t>Index 2 (U8)</t>
    <phoneticPr fontId="1" type="noConversion"/>
  </si>
  <si>
    <t>Index 4 (U8)</t>
    <phoneticPr fontId="1" type="noConversion"/>
  </si>
  <si>
    <t>Index 7 (U8)</t>
    <phoneticPr fontId="1" type="noConversion"/>
  </si>
  <si>
    <t>Index 9 (U8)</t>
    <phoneticPr fontId="1" type="noConversion"/>
  </si>
  <si>
    <t>Index 2 (U16)</t>
    <phoneticPr fontId="1" type="noConversion"/>
  </si>
  <si>
    <t>Index 4 (U16)</t>
    <phoneticPr fontId="1" type="noConversion"/>
  </si>
  <si>
    <t>ADC_1</t>
    <phoneticPr fontId="1" type="noConversion"/>
  </si>
  <si>
    <t>ADC_2</t>
    <phoneticPr fontId="1" type="noConversion"/>
  </si>
  <si>
    <t>target ADC_2</t>
    <phoneticPr fontId="1" type="noConversion"/>
  </si>
  <si>
    <t>voltage_3</t>
    <phoneticPr fontId="1" type="noConversion"/>
  </si>
  <si>
    <t>ADC_3</t>
    <phoneticPr fontId="1" type="noConversion"/>
  </si>
  <si>
    <t>Index 1 (U8)</t>
    <phoneticPr fontId="1" type="noConversion"/>
  </si>
  <si>
    <t>Index 3 (U8)</t>
    <phoneticPr fontId="1" type="noConversion"/>
  </si>
  <si>
    <t>Index 5 (U8)</t>
    <phoneticPr fontId="1" type="noConversion"/>
  </si>
  <si>
    <t>vosel_1</t>
    <phoneticPr fontId="1" type="noConversion"/>
  </si>
  <si>
    <t>VCM ADC</t>
    <phoneticPr fontId="1" type="noConversion"/>
  </si>
  <si>
    <t>ADC</t>
    <phoneticPr fontId="1" type="noConversion"/>
  </si>
  <si>
    <t>Temp ADC</t>
    <phoneticPr fontId="1" type="noConversion"/>
  </si>
  <si>
    <t>0x00</t>
    <phoneticPr fontId="1" type="noConversion"/>
  </si>
  <si>
    <t>0x01</t>
    <phoneticPr fontId="1" type="noConversion"/>
  </si>
  <si>
    <t>0x03</t>
    <phoneticPr fontId="1" type="noConversion"/>
  </si>
  <si>
    <t>0x04</t>
    <phoneticPr fontId="1" type="noConversion"/>
  </si>
  <si>
    <t>0x05</t>
    <phoneticPr fontId="1" type="noConversion"/>
  </si>
  <si>
    <t>0x09</t>
    <phoneticPr fontId="1" type="noConversion"/>
  </si>
  <si>
    <t>0x0A</t>
    <phoneticPr fontId="1" type="noConversion"/>
  </si>
  <si>
    <t>0x0B</t>
    <phoneticPr fontId="1" type="noConversion"/>
  </si>
  <si>
    <t>0x0C</t>
    <phoneticPr fontId="1" type="noConversion"/>
  </si>
  <si>
    <t>0x0D</t>
    <phoneticPr fontId="1" type="noConversion"/>
  </si>
  <si>
    <t>0x0E</t>
    <phoneticPr fontId="1" type="noConversion"/>
  </si>
  <si>
    <t>offset</t>
    <phoneticPr fontId="1" type="noConversion"/>
  </si>
  <si>
    <t>0x10</t>
    <phoneticPr fontId="1" type="noConversion"/>
  </si>
  <si>
    <t>IC version</t>
  </si>
  <si>
    <t>IC version</t>
    <phoneticPr fontId="1" type="noConversion"/>
  </si>
  <si>
    <t>FT version</t>
  </si>
  <si>
    <t>Index 7 (U8)</t>
    <phoneticPr fontId="1" type="noConversion"/>
  </si>
  <si>
    <t>Index 9 (U8)</t>
    <phoneticPr fontId="1" type="noConversion"/>
  </si>
  <si>
    <t>Index 11 (U8)</t>
    <phoneticPr fontId="1" type="noConversion"/>
  </si>
  <si>
    <t>MP_ID</t>
    <phoneticPr fontId="1" type="noConversion"/>
  </si>
  <si>
    <t>MP_VALID</t>
    <phoneticPr fontId="1" type="noConversion"/>
  </si>
  <si>
    <t>MP_CNT</t>
    <phoneticPr fontId="1" type="noConversion"/>
  </si>
  <si>
    <t>Index 0 (U8)</t>
    <phoneticPr fontId="1" type="noConversion"/>
  </si>
  <si>
    <t>Index 1 (U16)</t>
    <phoneticPr fontId="1" type="noConversion"/>
  </si>
  <si>
    <t>Index 2 (U8)</t>
    <phoneticPr fontId="1" type="noConversion"/>
  </si>
  <si>
    <t>Index 3 (U16)</t>
    <phoneticPr fontId="1" type="noConversion"/>
  </si>
  <si>
    <t>Index 5 (U8)</t>
    <phoneticPr fontId="1" type="noConversion"/>
  </si>
  <si>
    <t>Index 8 (U16)</t>
    <phoneticPr fontId="1" type="noConversion"/>
  </si>
  <si>
    <t>Index 10 (U16)</t>
    <phoneticPr fontId="1" type="noConversion"/>
  </si>
  <si>
    <t>voltage_1</t>
    <phoneticPr fontId="1" type="noConversion"/>
  </si>
  <si>
    <t>vosel_1</t>
    <phoneticPr fontId="1" type="noConversion"/>
  </si>
  <si>
    <t>voltage_2</t>
    <phoneticPr fontId="1" type="noConversion"/>
  </si>
  <si>
    <t>vosel_2</t>
    <phoneticPr fontId="1" type="noConversion"/>
  </si>
  <si>
    <t>select</t>
    <phoneticPr fontId="1" type="noConversion"/>
  </si>
  <si>
    <t>target voltage_1</t>
    <phoneticPr fontId="1" type="noConversion"/>
  </si>
  <si>
    <t>target vosel_1</t>
    <phoneticPr fontId="1" type="noConversion"/>
  </si>
  <si>
    <t>target voltage_2</t>
    <phoneticPr fontId="1" type="noConversion"/>
  </si>
  <si>
    <t>target vosel_2</t>
    <phoneticPr fontId="1" type="noConversion"/>
  </si>
  <si>
    <t>target voltage_3</t>
    <phoneticPr fontId="1" type="noConversion"/>
  </si>
  <si>
    <t>target vosel_3</t>
    <phoneticPr fontId="1" type="noConversion"/>
  </si>
  <si>
    <t>Offset</t>
    <phoneticPr fontId="1" type="noConversion"/>
  </si>
  <si>
    <t>Byte Cnt</t>
    <phoneticPr fontId="1" type="noConversion"/>
  </si>
  <si>
    <t>0x5A010001</t>
    <phoneticPr fontId="1" type="noConversion"/>
  </si>
  <si>
    <t>Note</t>
    <phoneticPr fontId="1" type="noConversion"/>
  </si>
  <si>
    <t>0: bypass
1: Tool K
2: SW K</t>
    <phoneticPr fontId="1" type="noConversion"/>
  </si>
  <si>
    <t>Index 4 (U8)</t>
    <phoneticPr fontId="1" type="noConversion"/>
  </si>
  <si>
    <t>Index 6 (U16)</t>
    <phoneticPr fontId="1" type="noConversion"/>
  </si>
  <si>
    <t>flag</t>
    <phoneticPr fontId="1" type="noConversion"/>
  </si>
  <si>
    <t>0x5A010002</t>
    <phoneticPr fontId="1" type="noConversion"/>
  </si>
  <si>
    <t>0x5A010003</t>
    <phoneticPr fontId="1" type="noConversion"/>
  </si>
  <si>
    <t>0x5A010004</t>
    <phoneticPr fontId="1" type="noConversion"/>
  </si>
  <si>
    <t>0x5A010005</t>
    <phoneticPr fontId="1" type="noConversion"/>
  </si>
  <si>
    <t>Vbat ADC</t>
    <phoneticPr fontId="1" type="noConversion"/>
  </si>
  <si>
    <t>Index 2 (U16)</t>
    <phoneticPr fontId="1" type="noConversion"/>
  </si>
  <si>
    <t>Index 4 (U16)</t>
    <phoneticPr fontId="1" type="noConversion"/>
  </si>
  <si>
    <t>Index 5 (U16)</t>
    <phoneticPr fontId="1" type="noConversion"/>
  </si>
  <si>
    <t>Index 7 (U16)</t>
    <phoneticPr fontId="1" type="noConversion"/>
  </si>
  <si>
    <t>Index 9 (U16)</t>
    <phoneticPr fontId="1" type="noConversion"/>
  </si>
  <si>
    <t>ADC_1</t>
    <phoneticPr fontId="1" type="noConversion"/>
  </si>
  <si>
    <t xml:space="preserve"> target voltage_1</t>
    <phoneticPr fontId="1" type="noConversion"/>
  </si>
  <si>
    <t>target ADC_1</t>
    <phoneticPr fontId="1" type="noConversion"/>
  </si>
  <si>
    <t xml:space="preserve"> target voltage_2</t>
    <phoneticPr fontId="1" type="noConversion"/>
  </si>
  <si>
    <t>target ADC_2</t>
    <phoneticPr fontId="1" type="noConversion"/>
  </si>
  <si>
    <t xml:space="preserve"> target voltage_3</t>
    <phoneticPr fontId="1" type="noConversion"/>
  </si>
  <si>
    <t>target ADC_3</t>
    <phoneticPr fontId="1" type="noConversion"/>
  </si>
  <si>
    <t>0x5A010006</t>
    <phoneticPr fontId="1" type="noConversion"/>
  </si>
  <si>
    <t>AIO ADC</t>
    <phoneticPr fontId="1" type="noConversion"/>
  </si>
  <si>
    <t>target ADC_3</t>
    <phoneticPr fontId="1" type="noConversion"/>
  </si>
  <si>
    <t>0x5A010007</t>
    <phoneticPr fontId="1" type="noConversion"/>
  </si>
  <si>
    <t>0: bypass
1: Tool K
2: SW K</t>
    <phoneticPr fontId="1" type="noConversion"/>
  </si>
  <si>
    <t>Enable</t>
    <phoneticPr fontId="1" type="noConversion"/>
  </si>
  <si>
    <t>0x5A010008</t>
    <phoneticPr fontId="1" type="noConversion"/>
  </si>
  <si>
    <t>0x5A010009</t>
    <phoneticPr fontId="1" type="noConversion"/>
  </si>
  <si>
    <t>Crystal Trim</t>
    <phoneticPr fontId="1" type="noConversion"/>
  </si>
  <si>
    <t>xo_trim</t>
    <phoneticPr fontId="1" type="noConversion"/>
  </si>
  <si>
    <t>0x5A01000B</t>
    <phoneticPr fontId="1" type="noConversion"/>
  </si>
  <si>
    <t>Temp sensor</t>
    <phoneticPr fontId="1" type="noConversion"/>
  </si>
  <si>
    <t>K value</t>
    <phoneticPr fontId="1" type="noConversion"/>
  </si>
  <si>
    <t>0x5A010013</t>
    <phoneticPr fontId="1" type="noConversion"/>
  </si>
  <si>
    <t xml:space="preserve">
</t>
    <phoneticPr fontId="1" type="noConversion"/>
  </si>
  <si>
    <t>Value (HEX)</t>
    <phoneticPr fontId="1" type="noConversion"/>
  </si>
  <si>
    <t>Value(HEX)</t>
    <phoneticPr fontId="1" type="noConversion"/>
  </si>
  <si>
    <t>BOD</t>
    <phoneticPr fontId="1" type="noConversion"/>
  </si>
  <si>
    <t>0x50</t>
    <phoneticPr fontId="1" type="noConversion"/>
  </si>
  <si>
    <t>0x80</t>
    <phoneticPr fontId="1" type="noConversion"/>
  </si>
  <si>
    <t>ANA COM</t>
    <phoneticPr fontId="1" type="noConversion"/>
  </si>
  <si>
    <t>BOD</t>
    <phoneticPr fontId="1" type="noConversion"/>
  </si>
  <si>
    <t>AGC</t>
    <phoneticPr fontId="1" type="noConversion"/>
  </si>
  <si>
    <t>LDOANA</t>
    <phoneticPr fontId="1" type="noConversion"/>
  </si>
  <si>
    <t>LDODIG</t>
    <phoneticPr fontId="1" type="noConversion"/>
  </si>
  <si>
    <t xml:space="preserve">1800
</t>
    <phoneticPr fontId="1" type="noConversion"/>
  </si>
  <si>
    <t xml:space="preserve">1v8 ADC
</t>
    <phoneticPr fontId="1" type="noConversion"/>
  </si>
  <si>
    <t xml:space="preserve">TEMP ADC
</t>
    <phoneticPr fontId="1" type="noConversion"/>
  </si>
  <si>
    <t xml:space="preserve">MP_NULL (0xFF)                
MP_VALID (0x7E)                    
MP_INVALID (0x00)                  </t>
    <phoneticPr fontId="1" type="noConversion"/>
  </si>
  <si>
    <t>dcdc_vosel = 10, dcdc_voltage = votlage_1</t>
    <phoneticPr fontId="1" type="noConversion"/>
  </si>
  <si>
    <t>dcdc_vosel = 24, dcdc_voltage = votlage_2</t>
    <phoneticPr fontId="1" type="noConversion"/>
  </si>
  <si>
    <t>0 &lt;= dcdc taget vosel_2 &lt;= 31</t>
    <phoneticPr fontId="1" type="noConversion"/>
  </si>
  <si>
    <t>0 &lt;= dcdc taget vosel_3 &lt;= 31</t>
    <phoneticPr fontId="1" type="noConversion"/>
  </si>
  <si>
    <t>dcdc target voltage = 1250mv, 
dcdc_vosel = target vosel_1
(heavy/light/normal)</t>
    <phoneticPr fontId="1" type="noConversion"/>
  </si>
  <si>
    <t>dcdc target voltage = 1350mv, 
dcdc_vosel = target vosel_2
(heavy/light/normal)</t>
    <phoneticPr fontId="1" type="noConversion"/>
  </si>
  <si>
    <t>dcdc target voltage = 1600mv, 
dcdc_vosel = target vosel_3
(heavy/light/normal)</t>
    <phoneticPr fontId="1" type="noConversion"/>
  </si>
  <si>
    <t>0 &lt;= dcdc taget vosel_1 &lt;= 31</t>
    <phoneticPr fontId="1" type="noConversion"/>
  </si>
  <si>
    <t>0 &lt;= ldomv taget vosel_1 &lt;= 31</t>
    <phoneticPr fontId="1" type="noConversion"/>
  </si>
  <si>
    <t>0 &lt;= ldomv taget vosel_2 &lt;= 31</t>
    <phoneticPr fontId="1" type="noConversion"/>
  </si>
  <si>
    <t>ldomv target voltage = 1350mv, 
ldomv_vosel = target vosel_2
(heavy/light/normal)</t>
    <phoneticPr fontId="1" type="noConversion"/>
  </si>
  <si>
    <t>ldomv target voltage = 1350mv, 
ldomv_vosel = target vosel_3
(heavy/light/normal)</t>
    <phoneticPr fontId="1" type="noConversion"/>
  </si>
  <si>
    <t>0 &lt;= ldomv taget vosel_3 &lt;= 31</t>
    <phoneticPr fontId="1" type="noConversion"/>
  </si>
  <si>
    <t>ldomv_vosel = 9, ldomv_voltage = votlage_1</t>
    <phoneticPr fontId="1" type="noConversion"/>
  </si>
  <si>
    <t>ldomv_vosel = 23, ldomv_voltage = votlage_2</t>
    <phoneticPr fontId="1" type="noConversion"/>
  </si>
  <si>
    <t>ldomv target voltage = 1250mv, 
ldomv_vosel = target vosel_1
(heavy/light/normal)</t>
    <phoneticPr fontId="1" type="noConversion"/>
  </si>
  <si>
    <t>0 &lt;= LDOANA_vtune_taget &lt;= 15</t>
    <phoneticPr fontId="1" type="noConversion"/>
  </si>
  <si>
    <t>ldoana_vtune = 5, ldoana_voltage = votlage_1</t>
    <phoneticPr fontId="1" type="noConversion"/>
  </si>
  <si>
    <t>ldoana_vtune= 12, ldoana_voltage = votlage_2</t>
    <phoneticPr fontId="1" type="noConversion"/>
  </si>
  <si>
    <t>ldodig_vosel = 12, ldoana_voltage = votlage_2</t>
    <phoneticPr fontId="1" type="noConversion"/>
  </si>
  <si>
    <t>ldoana target voltage = 1100mv, 
ldoana_vtune = target vosel_1</t>
    <phoneticPr fontId="1" type="noConversion"/>
  </si>
  <si>
    <t>ldodig target voltage = 1100mv, 
ldodig_vosel = target vosel_1</t>
    <phoneticPr fontId="1" type="noConversion"/>
  </si>
  <si>
    <t>0 &lt;= LDODIG_vosel_taget &lt;= 15</t>
    <phoneticPr fontId="1" type="noConversion"/>
  </si>
  <si>
    <t>ldodig_vosel = 5, ldoana_voltage = votlage_1</t>
    <phoneticPr fontId="1" type="noConversion"/>
  </si>
  <si>
    <t>retldo_vosel = 5, retldo_voltage = votlage_1</t>
    <phoneticPr fontId="1" type="noConversion"/>
  </si>
  <si>
    <t>retldo_vosel = 2, retldo_voltage = votlage_2</t>
    <phoneticPr fontId="1" type="noConversion"/>
  </si>
  <si>
    <t>0 &lt;= RETLDO_vosel_taget &lt;= 15</t>
    <phoneticPr fontId="1" type="noConversion"/>
  </si>
  <si>
    <t>0 &lt;= RETLDO_vosel_taget &lt;= 15</t>
    <phoneticPr fontId="1" type="noConversion"/>
  </si>
  <si>
    <t>vbat adc voltage = 3600mv, ADC value = ADC_2</t>
    <phoneticPr fontId="1" type="noConversion"/>
  </si>
  <si>
    <t>vbat adc voltage = 2500mv, ADC value = target ADC_2</t>
    <phoneticPr fontId="1" type="noConversion"/>
  </si>
  <si>
    <t>vbat adc voltage = 3300mv, ADC value = target ADC_3</t>
    <phoneticPr fontId="1" type="noConversion"/>
  </si>
  <si>
    <t>vbat adc voltage = 1800mv, ADC value = ADC_1</t>
    <phoneticPr fontId="1" type="noConversion"/>
  </si>
  <si>
    <t>aio adc voltage = 0mv, ADC value = ADC_1</t>
    <phoneticPr fontId="1" type="noConversion"/>
  </si>
  <si>
    <t>aio adc voltage = 3600mv, ADC value = ADC_2</t>
    <phoneticPr fontId="1" type="noConversion"/>
  </si>
  <si>
    <t>vbat adc voltage = 2000mv, ADC value = target ADC_1</t>
    <phoneticPr fontId="1" type="noConversion"/>
  </si>
  <si>
    <t>aio adc voltage = 1800mv, ADC value = target ADC_2</t>
    <phoneticPr fontId="1" type="noConversion"/>
  </si>
  <si>
    <t>aio adc voltage = 900mv, ADC value = target ADC_1</t>
    <phoneticPr fontId="1" type="noConversion"/>
  </si>
  <si>
    <t>aio adc voltage = 3300mv, ADC value = target ADC_3</t>
    <phoneticPr fontId="1" type="noConversion"/>
  </si>
  <si>
    <t>VCM ADC value</t>
    <phoneticPr fontId="1" type="noConversion"/>
  </si>
  <si>
    <t>TEMP ADC 25C value</t>
    <phoneticPr fontId="1" type="noConversion"/>
  </si>
  <si>
    <t>xosc_cap_ini</t>
    <phoneticPr fontId="1" type="noConversion"/>
  </si>
  <si>
    <t>3v3 ADC value</t>
    <phoneticPr fontId="1" type="noConversion"/>
  </si>
  <si>
    <t>1v8 ADC value</t>
    <phoneticPr fontId="1" type="noConversion"/>
  </si>
  <si>
    <t>temp ADC value</t>
    <phoneticPr fontId="1" type="noConversion"/>
  </si>
  <si>
    <t>3V3_ADC</t>
    <phoneticPr fontId="1" type="noConversion"/>
  </si>
  <si>
    <t>1V8_ADC</t>
    <phoneticPr fontId="1" type="noConversion"/>
  </si>
  <si>
    <t>TEMP_ADC</t>
    <phoneticPr fontId="1" type="noConversion"/>
  </si>
  <si>
    <t>Chip</t>
  </si>
  <si>
    <t>Description</t>
    <phoneticPr fontId="1" type="noConversion"/>
  </si>
  <si>
    <t>Description</t>
  </si>
  <si>
    <t>Description</t>
    <phoneticPr fontId="1" type="noConversion"/>
  </si>
  <si>
    <t>Description</t>
    <phoneticPr fontId="1" type="noConversion"/>
  </si>
  <si>
    <t>address</t>
    <phoneticPr fontId="1" type="noConversion"/>
  </si>
  <si>
    <t>0x00</t>
    <phoneticPr fontId="1" type="noConversion"/>
  </si>
  <si>
    <t>0x02</t>
    <phoneticPr fontId="1" type="noConversion"/>
  </si>
  <si>
    <t>0x03</t>
    <phoneticPr fontId="1" type="noConversion"/>
  </si>
  <si>
    <t>0x04</t>
    <phoneticPr fontId="1" type="noConversion"/>
  </si>
  <si>
    <t>0x06</t>
    <phoneticPr fontId="1" type="noConversion"/>
  </si>
  <si>
    <t>0x07</t>
    <phoneticPr fontId="1" type="noConversion"/>
  </si>
  <si>
    <t>0x08</t>
    <phoneticPr fontId="1" type="noConversion"/>
  </si>
  <si>
    <t>0x09</t>
    <phoneticPr fontId="1" type="noConversion"/>
  </si>
  <si>
    <t>0x0B</t>
    <phoneticPr fontId="1" type="noConversion"/>
  </si>
  <si>
    <t>0x0C</t>
    <phoneticPr fontId="1" type="noConversion"/>
  </si>
  <si>
    <t>0x0F</t>
    <phoneticPr fontId="1" type="noConversion"/>
  </si>
  <si>
    <t>0x00</t>
    <phoneticPr fontId="1" type="noConversion"/>
  </si>
  <si>
    <t>Index 0 (U8)</t>
    <phoneticPr fontId="1" type="noConversion"/>
  </si>
  <si>
    <t>Index 2 (U8)</t>
    <phoneticPr fontId="1" type="noConversion"/>
  </si>
  <si>
    <t>Index 3 (U8)</t>
    <phoneticPr fontId="1" type="noConversion"/>
  </si>
  <si>
    <t>Index 4 (U8)</t>
    <phoneticPr fontId="1" type="noConversion"/>
  </si>
  <si>
    <t>Index 5 (U8)</t>
    <phoneticPr fontId="1" type="noConversion"/>
  </si>
  <si>
    <t>Index 6 (U8)</t>
    <phoneticPr fontId="1" type="noConversion"/>
  </si>
  <si>
    <t>Index 7 (U8)</t>
    <phoneticPr fontId="1" type="noConversion"/>
  </si>
  <si>
    <t>flag</t>
    <phoneticPr fontId="1" type="noConversion"/>
  </si>
  <si>
    <t>Value (ASCII)</t>
    <phoneticPr fontId="1" type="noConversion"/>
  </si>
  <si>
    <t>R</t>
    <phoneticPr fontId="1" type="noConversion"/>
  </si>
  <si>
    <t>T</t>
    <phoneticPr fontId="1" type="noConversion"/>
  </si>
  <si>
    <t>FT version</t>
    <phoneticPr fontId="1" type="noConversion"/>
  </si>
  <si>
    <t>Index 0 (U8)</t>
    <phoneticPr fontId="1" type="noConversion"/>
  </si>
  <si>
    <t>Index 3 (U8)</t>
    <phoneticPr fontId="1" type="noConversion"/>
  </si>
  <si>
    <t>Index 4 (U8)</t>
    <phoneticPr fontId="1" type="noConversion"/>
  </si>
  <si>
    <t>flag</t>
    <phoneticPr fontId="1" type="noConversion"/>
  </si>
  <si>
    <t>Value (ASCII)</t>
    <phoneticPr fontId="1" type="noConversion"/>
  </si>
  <si>
    <t>0x20</t>
    <phoneticPr fontId="1" type="noConversion"/>
  </si>
  <si>
    <t>DCDC</t>
    <phoneticPr fontId="1" type="noConversion"/>
  </si>
  <si>
    <t>Index 0 (U8)</t>
    <phoneticPr fontId="1" type="noConversion"/>
  </si>
  <si>
    <t>Index 1 (U16)</t>
    <phoneticPr fontId="1" type="noConversion"/>
  </si>
  <si>
    <t>Index 2 (U8)</t>
    <phoneticPr fontId="1" type="noConversion"/>
  </si>
  <si>
    <t>flag</t>
    <phoneticPr fontId="1" type="noConversion"/>
  </si>
  <si>
    <t>voltage_2</t>
    <phoneticPr fontId="1" type="noConversion"/>
  </si>
  <si>
    <t>vosel_2</t>
    <phoneticPr fontId="1" type="noConversion"/>
  </si>
  <si>
    <t>0x0A</t>
    <phoneticPr fontId="1" type="noConversion"/>
  </si>
  <si>
    <t>0x18</t>
    <phoneticPr fontId="1" type="noConversion"/>
  </si>
  <si>
    <t>0x30</t>
    <phoneticPr fontId="1" type="noConversion"/>
  </si>
  <si>
    <t>LDOMV</t>
    <phoneticPr fontId="1" type="noConversion"/>
  </si>
  <si>
    <t>Index 1 (U16)</t>
    <phoneticPr fontId="1" type="noConversion"/>
  </si>
  <si>
    <t>Index 2 (U8)</t>
    <phoneticPr fontId="1" type="noConversion"/>
  </si>
  <si>
    <t>Index 3 (U16)</t>
    <phoneticPr fontId="1" type="noConversion"/>
  </si>
  <si>
    <t>Index 4 (U8)</t>
    <phoneticPr fontId="1" type="noConversion"/>
  </si>
  <si>
    <t>voltage_1</t>
    <phoneticPr fontId="1" type="noConversion"/>
  </si>
  <si>
    <t>vosel_1</t>
    <phoneticPr fontId="1" type="noConversion"/>
  </si>
  <si>
    <t>Value (HEX)</t>
    <phoneticPr fontId="1" type="noConversion"/>
  </si>
  <si>
    <t>0x17</t>
    <phoneticPr fontId="1" type="noConversion"/>
  </si>
  <si>
    <t>Index 1 (U16)</t>
    <phoneticPr fontId="1" type="noConversion"/>
  </si>
  <si>
    <t>Index 3 (U16)</t>
    <phoneticPr fontId="1" type="noConversion"/>
  </si>
  <si>
    <t>Index 4 (U8)</t>
    <phoneticPr fontId="1" type="noConversion"/>
  </si>
  <si>
    <t>vosel_1</t>
    <phoneticPr fontId="1" type="noConversion"/>
  </si>
  <si>
    <t>voltage_2</t>
    <phoneticPr fontId="1" type="noConversion"/>
  </si>
  <si>
    <t>vosel_2</t>
    <phoneticPr fontId="1" type="noConversion"/>
  </si>
  <si>
    <t>Value (HEX)</t>
    <phoneticPr fontId="1" type="noConversion"/>
  </si>
  <si>
    <t>0x05</t>
    <phoneticPr fontId="1" type="noConversion"/>
  </si>
  <si>
    <t>0x0C</t>
    <phoneticPr fontId="1" type="noConversion"/>
  </si>
  <si>
    <t>Index 1 (U16)</t>
    <phoneticPr fontId="1" type="noConversion"/>
  </si>
  <si>
    <t>Index 3 (U16)</t>
    <phoneticPr fontId="1" type="noConversion"/>
  </si>
  <si>
    <t>Index 4 (U8)</t>
    <phoneticPr fontId="1" type="noConversion"/>
  </si>
  <si>
    <t>voltage_1</t>
    <phoneticPr fontId="1" type="noConversion"/>
  </si>
  <si>
    <t>0x60</t>
    <phoneticPr fontId="1" type="noConversion"/>
  </si>
  <si>
    <t>RETLDO</t>
    <phoneticPr fontId="1" type="noConversion"/>
  </si>
  <si>
    <t>Index 1 (U16)</t>
    <phoneticPr fontId="1" type="noConversion"/>
  </si>
  <si>
    <t>Index 2 (U8)</t>
    <phoneticPr fontId="1" type="noConversion"/>
  </si>
  <si>
    <t>Index 4 (U8)</t>
    <phoneticPr fontId="1" type="noConversion"/>
  </si>
  <si>
    <t>flag</t>
    <phoneticPr fontId="1" type="noConversion"/>
  </si>
  <si>
    <t>vosel_1</t>
    <phoneticPr fontId="1" type="noConversion"/>
  </si>
  <si>
    <t>voltage_2</t>
    <phoneticPr fontId="1" type="noConversion"/>
  </si>
  <si>
    <t>0x09</t>
    <phoneticPr fontId="1" type="noConversion"/>
  </si>
  <si>
    <t>0x02</t>
    <phoneticPr fontId="1" type="noConversion"/>
  </si>
  <si>
    <t>0x70</t>
    <phoneticPr fontId="1" type="noConversion"/>
  </si>
  <si>
    <t>Index 1 (U16)</t>
    <phoneticPr fontId="1" type="noConversion"/>
  </si>
  <si>
    <t>Index 2 (U16)</t>
    <phoneticPr fontId="1" type="noConversion"/>
  </si>
  <si>
    <t>Index 5 (U16)</t>
    <phoneticPr fontId="1" type="noConversion"/>
  </si>
  <si>
    <t>Index 6 (U16)</t>
    <phoneticPr fontId="1" type="noConversion"/>
  </si>
  <si>
    <t>ADC_1</t>
    <phoneticPr fontId="1" type="noConversion"/>
  </si>
  <si>
    <t>voltage_3</t>
    <phoneticPr fontId="1" type="noConversion"/>
  </si>
  <si>
    <t>AIO ADC</t>
    <phoneticPr fontId="1" type="noConversion"/>
  </si>
  <si>
    <t>Index 0 (U8)</t>
    <phoneticPr fontId="1" type="noConversion"/>
  </si>
  <si>
    <t>Index 1 (U16)</t>
    <phoneticPr fontId="1" type="noConversion"/>
  </si>
  <si>
    <t>Index 5 (U16)</t>
    <phoneticPr fontId="1" type="noConversion"/>
  </si>
  <si>
    <t>ADC_2</t>
    <phoneticPr fontId="1" type="noConversion"/>
  </si>
  <si>
    <t>ADC_3</t>
    <phoneticPr fontId="1" type="noConversion"/>
  </si>
  <si>
    <t xml:space="preserve">3600
</t>
    <phoneticPr fontId="1" type="noConversion"/>
  </si>
  <si>
    <t>0x90</t>
    <phoneticPr fontId="1" type="noConversion"/>
  </si>
  <si>
    <t>Index 0 (U8)</t>
    <phoneticPr fontId="1" type="noConversion"/>
  </si>
  <si>
    <t>Index 1 (U16)</t>
    <phoneticPr fontId="1" type="noConversion"/>
  </si>
  <si>
    <t>Value(HEX)</t>
    <phoneticPr fontId="1" type="noConversion"/>
  </si>
  <si>
    <t>Temp ADC</t>
    <phoneticPr fontId="1" type="noConversion"/>
  </si>
  <si>
    <t>ADC</t>
    <phoneticPr fontId="1" type="noConversion"/>
  </si>
  <si>
    <t>Value(HEX)</t>
    <phoneticPr fontId="1" type="noConversion"/>
  </si>
  <si>
    <t>0V ADC</t>
    <phoneticPr fontId="1" type="noConversion"/>
  </si>
  <si>
    <t>0xC0</t>
    <phoneticPr fontId="1" type="noConversion"/>
  </si>
  <si>
    <t>voltage_1</t>
    <phoneticPr fontId="1" type="noConversion"/>
  </si>
  <si>
    <t>voltage_2</t>
    <phoneticPr fontId="1" type="noConversion"/>
  </si>
  <si>
    <t>Index 0 (U8)</t>
    <phoneticPr fontId="1" type="noConversion"/>
  </si>
  <si>
    <t>voltage_1</t>
    <phoneticPr fontId="1" type="noConversion"/>
  </si>
  <si>
    <t>Value (HEX)</t>
    <phoneticPr fontId="1" type="noConversion"/>
  </si>
  <si>
    <t>0xE0</t>
    <phoneticPr fontId="1" type="noConversion"/>
  </si>
  <si>
    <t>AGC ADC</t>
    <phoneticPr fontId="1" type="noConversion"/>
  </si>
  <si>
    <t>Index 1 (U8)</t>
    <phoneticPr fontId="1" type="noConversion"/>
  </si>
  <si>
    <t xml:space="preserve">3v3 ADC
</t>
    <phoneticPr fontId="1" type="noConversion"/>
  </si>
  <si>
    <t>Value (HEX)</t>
    <phoneticPr fontId="1" type="noConversion"/>
  </si>
  <si>
    <t>address</t>
    <phoneticPr fontId="1" type="noConversion"/>
  </si>
  <si>
    <t>0x02</t>
    <phoneticPr fontId="1" type="noConversion"/>
  </si>
  <si>
    <t>0x05</t>
    <phoneticPr fontId="1" type="noConversion"/>
  </si>
  <si>
    <t>0x07</t>
    <phoneticPr fontId="1" type="noConversion"/>
  </si>
  <si>
    <t>0x08</t>
    <phoneticPr fontId="1" type="noConversion"/>
  </si>
  <si>
    <t>0x0A</t>
    <phoneticPr fontId="1" type="noConversion"/>
  </si>
  <si>
    <t>0x0C</t>
    <phoneticPr fontId="1" type="noConversion"/>
  </si>
  <si>
    <t>0x0D</t>
    <phoneticPr fontId="1" type="noConversion"/>
  </si>
  <si>
    <t>0x0F</t>
    <phoneticPr fontId="1" type="noConversion"/>
  </si>
  <si>
    <t xml:space="preserve">System </t>
    <phoneticPr fontId="1" type="noConversion"/>
  </si>
  <si>
    <t>Value (ASCII)</t>
    <phoneticPr fontId="1" type="noConversion"/>
  </si>
  <si>
    <t>Value(HEX)</t>
    <phoneticPr fontId="1" type="noConversion"/>
  </si>
  <si>
    <t>Value(HEX)</t>
    <phoneticPr fontId="1" type="noConversion"/>
  </si>
  <si>
    <t>Description</t>
    <phoneticPr fontId="1" type="noConversion"/>
  </si>
  <si>
    <t>IMRR</t>
    <phoneticPr fontId="1" type="noConversion"/>
  </si>
  <si>
    <t>MP_VALID</t>
    <phoneticPr fontId="1" type="noConversion"/>
  </si>
  <si>
    <t>MP_CNT</t>
    <phoneticPr fontId="1" type="noConversion"/>
  </si>
  <si>
    <t>Index 1 (U16)</t>
    <phoneticPr fontId="1" type="noConversion"/>
  </si>
  <si>
    <t>Index 2 (U8)</t>
    <phoneticPr fontId="1" type="noConversion"/>
  </si>
  <si>
    <t>Index 3 (U16)</t>
    <phoneticPr fontId="1" type="noConversion"/>
  </si>
  <si>
    <t>Index 4 (U8)</t>
    <phoneticPr fontId="1" type="noConversion"/>
  </si>
  <si>
    <t>flag</t>
    <phoneticPr fontId="1" type="noConversion"/>
  </si>
  <si>
    <t>rxiq_gain</t>
  </si>
  <si>
    <t>rxiq_gain_sel</t>
  </si>
  <si>
    <t>rxiq_phase</t>
  </si>
  <si>
    <t>rxiq_phase_sel</t>
  </si>
  <si>
    <t>RT584Z</t>
    <phoneticPr fontId="1" type="noConversion"/>
  </si>
  <si>
    <t>Offset</t>
    <phoneticPr fontId="1" type="noConversion"/>
  </si>
  <si>
    <t>RT584Z: 0x0308[06:00] rxiq_gain</t>
    <phoneticPr fontId="1" type="noConversion"/>
  </si>
  <si>
    <t>RT584Z: 0x0308[07:07] rxiq_gain_sel</t>
    <phoneticPr fontId="1" type="noConversion"/>
  </si>
  <si>
    <t>RT584Z: 0x0308[14:08] rxiq_phase</t>
    <phoneticPr fontId="1" type="noConversion"/>
  </si>
  <si>
    <t>RT584Z: 0x0308[15:15] rxiq_phase_sel</t>
    <phoneticPr fontId="1" type="noConversion"/>
  </si>
  <si>
    <r>
      <t xml:space="preserve">BIT0: Set Flash 4bits mode in ISP boot. 
BIT1: Run secure page code patch. 
(Set PLL 48MHz or 64MHz)
BIT2: short ISP handshaking period.
</t>
    </r>
    <r>
      <rPr>
        <sz val="11"/>
        <color rgb="FFFF0000"/>
        <rFont val="Calibri"/>
        <family val="2"/>
      </rPr>
      <t>BIT3: Disable ICE function 
(For products that not use PSA life cycle)</t>
    </r>
    <r>
      <rPr>
        <sz val="11"/>
        <color theme="1"/>
        <rFont val="Calibri"/>
        <family val="2"/>
      </rPr>
      <t xml:space="preserve">
BIT4~BIT7: Reserved</t>
    </r>
    <phoneticPr fontId="1" type="noConversion"/>
  </si>
  <si>
    <t>P_number</t>
    <phoneticPr fontId="1" type="noConversion"/>
  </si>
  <si>
    <t>P_CRC_16</t>
    <phoneticPr fontId="1" type="noConversion"/>
  </si>
  <si>
    <t>Index 1 (U8)</t>
    <phoneticPr fontId="1" type="noConversion"/>
  </si>
  <si>
    <t>Index 2 (U16)</t>
    <phoneticPr fontId="1" type="noConversion"/>
  </si>
  <si>
    <r>
      <rPr>
        <sz val="11"/>
        <color rgb="FF0000FF"/>
        <rFont val="Arial Black"/>
        <family val="2"/>
      </rPr>
      <t>System Reserved</t>
    </r>
    <r>
      <rPr>
        <sz val="11"/>
        <rFont val="Arial Black"/>
        <family val="2"/>
      </rPr>
      <t xml:space="preserve"> : 0x1000~0x10FF</t>
    </r>
    <phoneticPr fontId="1" type="noConversion"/>
  </si>
  <si>
    <t>PUF (128 bytes, PUF0 ~ PUF32, each 4 bytes)</t>
    <phoneticPr fontId="1" type="noConversion"/>
  </si>
  <si>
    <t>OTP1 (1024 bytes, OTP_000 ~ OTP_255)</t>
    <phoneticPr fontId="1" type="noConversion"/>
  </si>
  <si>
    <t>OTP2 (1024 bytes, OTP2_000 ~ OTP2_255)</t>
    <phoneticPr fontId="1" type="noConversion"/>
  </si>
  <si>
    <t>OTP1/ OTP2/ PUF difference</t>
    <phoneticPr fontId="1" type="noConversion"/>
  </si>
  <si>
    <t xml:space="preserve">PUF, OTP1 can lock each 4 bytes to become RO/NA for once lock. </t>
    <phoneticPr fontId="1" type="noConversion"/>
  </si>
  <si>
    <t>OTP2 lock 128 bytes to become RO/NA for once lock.</t>
    <phoneticPr fontId="1" type="noConversion"/>
  </si>
  <si>
    <t xml:space="preserve">PUF, OTP1 post-masking unit is 32 bytes
that is: if system designer wants to hide OTP_003 data, then OTP_000~OTP_007 will become hidden information also. 
OTP2 post-masking unit is 128 bytes.
POST-masking OTP bit controls  data no access protect and will reset in next POR.
</t>
    <phoneticPr fontId="1" type="noConversion"/>
  </si>
  <si>
    <t>OTP2 does not support zeroization.</t>
    <phoneticPr fontId="1" type="noConversion"/>
  </si>
  <si>
    <t>OTP Information</t>
    <phoneticPr fontId="1" type="noConversion"/>
  </si>
  <si>
    <t xml:space="preserve">RT584 will not do OTP1/PUF zeroization function in bootrom code, however system designer can do this destroy function (if required) in software control. </t>
    <phoneticPr fontId="1" type="noConversion"/>
  </si>
  <si>
    <t xml:space="preserve">To avoid otp bit error, RT584 will use duplicate bit mechanism to avoid bit error for Life cycle control information.
</t>
    <phoneticPr fontId="1" type="noConversion"/>
  </si>
  <si>
    <t>1. counter for anti-rollback
2. Because hardware ECC protect in OTP, we only write main version in OTP1 section each time when new main version change.
    When main version changed, we will write next OTP word. 
    So one chip can change “main version” max 48 times for first “bootloader”.</t>
    <phoneticPr fontId="1" type="noConversion"/>
  </si>
  <si>
    <t>0x000000 for ASSEMBLY_AND_TEST
0x00000F for PSA_ROT_PROVISIONING 
0x0000FF for SECURED</t>
    <phoneticPr fontId="1" type="noConversion"/>
  </si>
  <si>
    <t>DPD RET3</t>
    <phoneticPr fontId="1" type="noConversion"/>
  </si>
  <si>
    <t>DPD_RET3 Bit[31:24] Reserved used for Hardware.
DPD_RET3 Bit[23:16] Reset cause
DPD_RET3 Bit[2]: 1: SKIP image verification (for DS/DPD/WDG reset/SYS reset). 0: Always check image verification
DPD_RET3 Bit[0]: 1: SKIP ISP Handshaking time when reset cause is not POR/EXT.</t>
    <phoneticPr fontId="1" type="noConversion"/>
  </si>
  <si>
    <t>64 bytes secure ROT public key (SECP256-R1)</t>
    <phoneticPr fontId="1" type="noConversion"/>
  </si>
  <si>
    <t>0x40</t>
    <phoneticPr fontId="1" type="noConversion"/>
  </si>
  <si>
    <t>0xA0</t>
    <phoneticPr fontId="1" type="noConversion"/>
  </si>
  <si>
    <t>0xB0</t>
    <phoneticPr fontId="1" type="noConversion"/>
  </si>
  <si>
    <t>0xD0</t>
    <phoneticPr fontId="1" type="noConversion"/>
  </si>
  <si>
    <t>Life Cycle</t>
    <phoneticPr fontId="1" type="noConversion"/>
  </si>
  <si>
    <t>DL BL ADDR</t>
    <phoneticPr fontId="1" type="noConversion"/>
  </si>
  <si>
    <t>Flash/No_Flash</t>
    <phoneticPr fontId="1" type="noConversion"/>
  </si>
  <si>
    <t xml:space="preserve">BL Version </t>
    <phoneticPr fontId="1" type="noConversion"/>
  </si>
  <si>
    <t>Secure ROT Public key</t>
    <phoneticPr fontId="1" type="noConversion"/>
  </si>
  <si>
    <t xml:space="preserve">ADAC Debug Public key </t>
    <phoneticPr fontId="1" type="noConversion"/>
  </si>
  <si>
    <t>OTP1_192</t>
    <phoneticPr fontId="1" type="noConversion"/>
  </si>
  <si>
    <t>OTP1_200</t>
    <phoneticPr fontId="1" type="noConversion"/>
  </si>
  <si>
    <t>OTP1_201</t>
    <phoneticPr fontId="1" type="noConversion"/>
  </si>
  <si>
    <t xml:space="preserve">OTP1_208~OTP1_255
</t>
    <phoneticPr fontId="1" type="noConversion"/>
  </si>
  <si>
    <t xml:space="preserve">
OTP2_0~OTP2_15
</t>
    <phoneticPr fontId="1" type="noConversion"/>
  </si>
  <si>
    <t xml:space="preserve">
OTP2_16~OTP2_31
</t>
    <phoneticPr fontId="1" type="noConversion"/>
  </si>
  <si>
    <t xml:space="preserve">
OTP2_32~OTP2_48
</t>
    <phoneticPr fontId="1" type="noConversion"/>
  </si>
  <si>
    <t xml:space="preserve">
OTP2_48~OTP2_64
</t>
    <phoneticPr fontId="1" type="noConversion"/>
  </si>
  <si>
    <t>64 bytes ADAC public key. (SECP256-R1)</t>
    <phoneticPr fontId="1" type="noConversion"/>
  </si>
  <si>
    <r>
      <t>OTP2_65 ~ OTP2_255</t>
    </r>
    <r>
      <rPr>
        <b/>
        <sz val="14"/>
        <color rgb="FF0000FF"/>
        <rFont val="Calibri"/>
        <family val="2"/>
      </rPr>
      <t xml:space="preserve">  (764 bytes user data) Reserved</t>
    </r>
    <phoneticPr fontId="1" type="noConversion"/>
  </si>
  <si>
    <r>
      <t>OTP1_0 ~ OTP1_191</t>
    </r>
    <r>
      <rPr>
        <b/>
        <sz val="14"/>
        <color rgb="FF0000FF"/>
        <rFont val="Calibri"/>
        <family val="2"/>
      </rPr>
      <t xml:space="preserve">  (764 bytes user data)  Reserved</t>
    </r>
    <phoneticPr fontId="1" type="noConversion"/>
  </si>
  <si>
    <r>
      <t>OTP1_193 ~ OTP1_199</t>
    </r>
    <r>
      <rPr>
        <b/>
        <sz val="14"/>
        <color rgb="FF0000FF"/>
        <rFont val="Calibri"/>
        <family val="2"/>
      </rPr>
      <t xml:space="preserve">  (28 bytes user data)  Reserved</t>
    </r>
    <phoneticPr fontId="1" type="noConversion"/>
  </si>
  <si>
    <r>
      <t>OTP1_202 ~ OTP1_207</t>
    </r>
    <r>
      <rPr>
        <b/>
        <sz val="14"/>
        <color rgb="FF0000FF"/>
        <rFont val="Calibri"/>
        <family val="2"/>
      </rPr>
      <t xml:space="preserve">   (24 bytes user data) Reserved</t>
    </r>
    <phoneticPr fontId="1" type="noConversion"/>
  </si>
  <si>
    <t>OTP 1 Layout</t>
    <phoneticPr fontId="1" type="noConversion"/>
  </si>
  <si>
    <t>OTP 2  Layout</t>
    <phoneticPr fontId="1" type="noConversion"/>
  </si>
  <si>
    <t>Base Address  : 0x100FF000</t>
    <phoneticPr fontId="1" type="noConversion"/>
  </si>
  <si>
    <r>
      <rPr>
        <sz val="11"/>
        <color rgb="FF0000FF"/>
        <rFont val="Arial Black"/>
        <family val="2"/>
      </rPr>
      <t>FT Calibration Address</t>
    </r>
    <r>
      <rPr>
        <sz val="11"/>
        <rFont val="Arial Black"/>
        <family val="2"/>
      </rPr>
      <t xml:space="preserve"> : 0x0000</t>
    </r>
    <phoneticPr fontId="1" type="noConversion"/>
  </si>
  <si>
    <t>Public key</t>
    <phoneticPr fontId="1" type="noConversion"/>
  </si>
  <si>
    <t xml:space="preserve"> Public key</t>
    <phoneticPr fontId="1" type="noConversion"/>
  </si>
  <si>
    <t>Public key is option1(64 bytes)</t>
    <phoneticPr fontId="1" type="noConversion"/>
  </si>
  <si>
    <t>Public key is option2(64 bytes)</t>
    <phoneticPr fontId="1" type="noConversion"/>
  </si>
  <si>
    <t>OTP Information has three sections</t>
    <phoneticPr fontId="1" type="noConversion"/>
  </si>
  <si>
    <t>address</t>
  </si>
  <si>
    <t>offset</t>
  </si>
  <si>
    <t>0x00</t>
  </si>
  <si>
    <t>0x01</t>
  </si>
  <si>
    <t>0x02</t>
  </si>
  <si>
    <t>0x03</t>
  </si>
  <si>
    <t>0x04</t>
  </si>
  <si>
    <t>0x05</t>
  </si>
  <si>
    <t>0x06</t>
  </si>
  <si>
    <t>0x07</t>
  </si>
  <si>
    <t>0x08</t>
  </si>
  <si>
    <t>0x09</t>
  </si>
  <si>
    <t>0x0A</t>
  </si>
  <si>
    <t>0x0B</t>
  </si>
  <si>
    <t>0x0C</t>
  </si>
  <si>
    <t>0x0D</t>
  </si>
  <si>
    <t>0x0E</t>
  </si>
  <si>
    <t>0x0F</t>
  </si>
  <si>
    <t>Index 0 (U8)</t>
  </si>
  <si>
    <t>Index 1 (U8)</t>
  </si>
  <si>
    <t>Index 2 (U8)</t>
  </si>
  <si>
    <t>Index 3 (U8)</t>
  </si>
  <si>
    <t>Index 4 (U8)</t>
  </si>
  <si>
    <t>Index 5 (U8)</t>
  </si>
  <si>
    <t>Index 6 (U8)</t>
  </si>
  <si>
    <t>Index 7 (U8)</t>
  </si>
  <si>
    <t>Index 8(U8)</t>
  </si>
  <si>
    <t>Index 9 (U8)</t>
  </si>
  <si>
    <t>Index10 (U8)</t>
  </si>
  <si>
    <t>Index 11 (U8)</t>
  </si>
  <si>
    <t>Index 12 (U8)</t>
  </si>
  <si>
    <t>Index 13 (U8)</t>
  </si>
  <si>
    <t>Index 14 (U8)</t>
  </si>
  <si>
    <t>Index 15 (U8)</t>
  </si>
  <si>
    <t>BLE Identity Resolving Key</t>
  </si>
  <si>
    <r>
      <rPr>
        <sz val="11"/>
        <color rgb="FF0000FF"/>
        <rFont val="Arial Black"/>
        <family val="2"/>
      </rPr>
      <t>MAC ID Address</t>
    </r>
    <r>
      <rPr>
        <sz val="11"/>
        <rFont val="Arial Black"/>
        <family val="2"/>
      </rPr>
      <t xml:space="preserve"> : 0x1100~0x13FF</t>
    </r>
  </si>
  <si>
    <t>mac addr</t>
  </si>
  <si>
    <t>Addr_type</t>
  </si>
  <si>
    <t>BLE mac address</t>
  </si>
  <si>
    <t>ZigBee mac address</t>
  </si>
  <si>
    <t>key</t>
  </si>
  <si>
    <t>Notice</t>
    <phoneticPr fontId="1" type="noConversion"/>
  </si>
  <si>
    <t xml:space="preserve">DL BL Address must be 64KB alignment, that is, the LSB 16bits is 0 </t>
    <phoneticPr fontId="1" type="noConversion"/>
  </si>
  <si>
    <t xml:space="preserve">Hardware address after OTP1_192 will be controlled by bootrom hardware, so do not access this section directly. 
reserved this section for RT584 system only. </t>
    <phoneticPr fontId="1" type="noConversion"/>
  </si>
  <si>
    <t>Power fail</t>
    <phoneticPr fontId="1" type="noConversion"/>
  </si>
  <si>
    <t>MP_VALID</t>
    <phoneticPr fontId="1" type="noConversion"/>
  </si>
  <si>
    <t>MP_CNT</t>
    <phoneticPr fontId="1" type="noConversion"/>
  </si>
  <si>
    <t>Index 0 (U8)</t>
    <phoneticPr fontId="1" type="noConversion"/>
  </si>
  <si>
    <t>Index 1 (U16)</t>
    <phoneticPr fontId="1" type="noConversion"/>
  </si>
  <si>
    <t>Index 2 (U8)</t>
    <phoneticPr fontId="1" type="noConversion"/>
  </si>
  <si>
    <t>Index 3 (U16)</t>
    <phoneticPr fontId="1" type="noConversion"/>
  </si>
  <si>
    <t>Index 4 (U8)</t>
    <phoneticPr fontId="1" type="noConversion"/>
  </si>
  <si>
    <t>Index 6 (U16)</t>
    <phoneticPr fontId="1" type="noConversion"/>
  </si>
  <si>
    <t>Index 7 (U8)</t>
    <phoneticPr fontId="1" type="noConversion"/>
  </si>
  <si>
    <t>Index 8 (U16)</t>
    <phoneticPr fontId="1" type="noConversion"/>
  </si>
  <si>
    <t>Index 10 (U16)</t>
    <phoneticPr fontId="1" type="noConversion"/>
  </si>
  <si>
    <t>Index 11 (U8)</t>
    <phoneticPr fontId="1" type="noConversion"/>
  </si>
  <si>
    <t>flag</t>
    <phoneticPr fontId="1" type="noConversion"/>
  </si>
  <si>
    <t>voltage_1</t>
    <phoneticPr fontId="1" type="noConversion"/>
  </si>
  <si>
    <t>vosel_1</t>
    <phoneticPr fontId="1" type="noConversion"/>
  </si>
  <si>
    <t>vosel_2</t>
    <phoneticPr fontId="1" type="noConversion"/>
  </si>
  <si>
    <t>select</t>
    <phoneticPr fontId="1" type="noConversion"/>
  </si>
  <si>
    <t>target vosel_1</t>
    <phoneticPr fontId="1" type="noConversion"/>
  </si>
  <si>
    <t>target vosel_2</t>
    <phoneticPr fontId="1" type="noConversion"/>
  </si>
  <si>
    <t>Offset</t>
    <phoneticPr fontId="1" type="noConversion"/>
  </si>
  <si>
    <t>Byte Cnt</t>
    <phoneticPr fontId="1" type="noConversion"/>
  </si>
  <si>
    <t>0x5A01000A</t>
    <phoneticPr fontId="1" type="noConversion"/>
  </si>
  <si>
    <t xml:space="preserve">MP_NULL (0xFF)                
MP_VALID (0x7E)                    
MP_INVALID (0x00)                  </t>
    <phoneticPr fontId="1" type="noConversion"/>
  </si>
  <si>
    <t>0: bypass
1: Tool K
2: SW K</t>
    <phoneticPr fontId="1" type="noConversion"/>
  </si>
  <si>
    <t>RF_TRIM_2P4G</t>
    <phoneticPr fontId="1" type="noConversion"/>
  </si>
  <si>
    <t>Index 4 (S16)</t>
    <phoneticPr fontId="1" type="noConversion"/>
  </si>
  <si>
    <t>Index 5 (S16)</t>
    <phoneticPr fontId="1" type="noConversion"/>
  </si>
  <si>
    <t>mode</t>
    <phoneticPr fontId="1" type="noConversion"/>
  </si>
  <si>
    <t>cal_cfg</t>
    <phoneticPr fontId="1" type="noConversion"/>
  </si>
  <si>
    <t>rx_filt_cap</t>
    <phoneticPr fontId="1" type="noConversion"/>
  </si>
  <si>
    <t>tx_dc_offset_i</t>
    <phoneticPr fontId="1" type="noConversion"/>
  </si>
  <si>
    <t>tx_dc_offset_q</t>
    <phoneticPr fontId="1" type="noConversion"/>
  </si>
  <si>
    <t>tx_iqc_b</t>
    <phoneticPr fontId="1" type="noConversion"/>
  </si>
  <si>
    <t>0xFFFF</t>
    <phoneticPr fontId="1" type="noConversion"/>
  </si>
  <si>
    <t>0xFFFF</t>
    <phoneticPr fontId="1" type="noConversion"/>
  </si>
  <si>
    <t>flag</t>
    <phoneticPr fontId="1" type="noConversion"/>
  </si>
  <si>
    <t>tx_iqc_a</t>
    <phoneticPr fontId="1" type="noConversion"/>
  </si>
  <si>
    <t>tx_iqc_c</t>
    <phoneticPr fontId="1" type="noConversion"/>
  </si>
  <si>
    <t>Byte Cnt</t>
    <phoneticPr fontId="1" type="noConversion"/>
  </si>
  <si>
    <t>Offset</t>
    <phoneticPr fontId="1" type="noConversion"/>
  </si>
  <si>
    <t>rf_band_support</t>
    <phoneticPr fontId="1" type="noConversion"/>
  </si>
  <si>
    <t>MP_ID</t>
    <phoneticPr fontId="1" type="noConversion"/>
  </si>
  <si>
    <t>Index 1 (U8)</t>
    <phoneticPr fontId="1" type="noConversion"/>
  </si>
  <si>
    <t>rf_band</t>
    <phoneticPr fontId="1" type="noConversion"/>
  </si>
  <si>
    <t>0x5A01000C</t>
    <phoneticPr fontId="1" type="noConversion"/>
  </si>
  <si>
    <t>0x01</t>
    <phoneticPr fontId="1" type="noConversion"/>
  </si>
  <si>
    <t>tx_iqc_a</t>
    <phoneticPr fontId="1" type="noConversion"/>
  </si>
  <si>
    <t>0x5A01000D</t>
    <phoneticPr fontId="1" type="noConversion"/>
  </si>
  <si>
    <t>0x00</t>
    <phoneticPr fontId="1" type="noConversion"/>
  </si>
  <si>
    <t>0xFFFF</t>
    <phoneticPr fontId="1" type="noConversion"/>
  </si>
  <si>
    <t>RF_TRIM_SUBG0</t>
    <phoneticPr fontId="1" type="noConversion"/>
  </si>
  <si>
    <t>Index 2 (U16)</t>
    <phoneticPr fontId="1" type="noConversion"/>
  </si>
  <si>
    <t>Index 4 (S16)</t>
    <phoneticPr fontId="1" type="noConversion"/>
  </si>
  <si>
    <t>Index 5 (S16)</t>
    <phoneticPr fontId="1" type="noConversion"/>
  </si>
  <si>
    <t>Index 6 (U16)</t>
    <phoneticPr fontId="1" type="noConversion"/>
  </si>
  <si>
    <t>Index 7 (U16)</t>
    <phoneticPr fontId="1" type="noConversion"/>
  </si>
  <si>
    <t>mode</t>
    <phoneticPr fontId="1" type="noConversion"/>
  </si>
  <si>
    <t>cal_cfg</t>
    <phoneticPr fontId="1" type="noConversion"/>
  </si>
  <si>
    <t>rx_filt_cap</t>
    <phoneticPr fontId="1" type="noConversion"/>
  </si>
  <si>
    <t>tx_dc_offset_i</t>
    <phoneticPr fontId="1" type="noConversion"/>
  </si>
  <si>
    <t>tx_dc_offset_q</t>
    <phoneticPr fontId="1" type="noConversion"/>
  </si>
  <si>
    <t>tx_iqc_a</t>
    <phoneticPr fontId="1" type="noConversion"/>
  </si>
  <si>
    <t>tx_iqc_b</t>
    <phoneticPr fontId="1" type="noConversion"/>
  </si>
  <si>
    <t>tx_iqc_c</t>
    <phoneticPr fontId="1" type="noConversion"/>
  </si>
  <si>
    <t>0x5A01000E</t>
    <phoneticPr fontId="1" type="noConversion"/>
  </si>
  <si>
    <t>Description</t>
    <phoneticPr fontId="1" type="noConversion"/>
  </si>
  <si>
    <t>RF_TRIM_SUBG1</t>
    <phoneticPr fontId="1" type="noConversion"/>
  </si>
  <si>
    <t>0x5A01000F</t>
    <phoneticPr fontId="1" type="noConversion"/>
  </si>
  <si>
    <t>RF_TRIM_SUBG2</t>
    <phoneticPr fontId="1" type="noConversion"/>
  </si>
  <si>
    <t>MP_ID</t>
    <phoneticPr fontId="1" type="noConversion"/>
  </si>
  <si>
    <t>MP_CNT</t>
    <phoneticPr fontId="1" type="noConversion"/>
  </si>
  <si>
    <t>Index 0 (U8)</t>
    <phoneticPr fontId="1" type="noConversion"/>
  </si>
  <si>
    <t>Index 4 (S16)</t>
    <phoneticPr fontId="1" type="noConversion"/>
  </si>
  <si>
    <t>cal_cfg</t>
    <phoneticPr fontId="1" type="noConversion"/>
  </si>
  <si>
    <t>Value</t>
    <phoneticPr fontId="1" type="noConversion"/>
  </si>
  <si>
    <t>0x5A010010</t>
    <phoneticPr fontId="1" type="noConversion"/>
  </si>
  <si>
    <t>0x00</t>
    <phoneticPr fontId="1" type="noConversion"/>
  </si>
  <si>
    <t xml:space="preserve">MP_NULL (0xFF)                
MP_VALID (0x7E)                    
MP_INVALID (0x00)                  </t>
    <phoneticPr fontId="1" type="noConversion"/>
  </si>
  <si>
    <t>TX_POWER_TRIM</t>
    <phoneticPr fontId="1" type="noConversion"/>
  </si>
  <si>
    <t>MP_VALID</t>
    <phoneticPr fontId="1" type="noConversion"/>
  </si>
  <si>
    <t>Index 1 (U8)</t>
    <phoneticPr fontId="1" type="noConversion"/>
  </si>
  <si>
    <t>Index 2 (U8)</t>
    <phoneticPr fontId="1" type="noConversion"/>
  </si>
  <si>
    <t>Index 3 (U8)</t>
    <phoneticPr fontId="1" type="noConversion"/>
  </si>
  <si>
    <t>Index 5 (U8)</t>
    <phoneticPr fontId="1" type="noConversion"/>
  </si>
  <si>
    <t>mode</t>
    <phoneticPr fontId="1" type="noConversion"/>
  </si>
  <si>
    <t>tx_gain_idx_2g_fsk</t>
    <phoneticPr fontId="1" type="noConversion"/>
  </si>
  <si>
    <t>tx_gain_idx_subg0_fsk</t>
    <phoneticPr fontId="1" type="noConversion"/>
  </si>
  <si>
    <t>tx_gain_idx_subg1_Fsk</t>
    <phoneticPr fontId="1" type="noConversion"/>
  </si>
  <si>
    <t>tx_gain_idx_subg2_fsk</t>
    <phoneticPr fontId="1" type="noConversion"/>
  </si>
  <si>
    <t>0x5A010011</t>
    <phoneticPr fontId="1" type="noConversion"/>
  </si>
  <si>
    <t>0: bypass
1: Tool K
2: SW K</t>
    <phoneticPr fontId="1" type="noConversion"/>
  </si>
  <si>
    <t>RSSI_TRIM</t>
    <phoneticPr fontId="1" type="noConversion"/>
  </si>
  <si>
    <t>Index 3 (U8)</t>
    <phoneticPr fontId="1" type="noConversion"/>
  </si>
  <si>
    <t>Index 4 (U8)</t>
    <phoneticPr fontId="1" type="noConversion"/>
  </si>
  <si>
    <t>Index 5 (U8)</t>
    <phoneticPr fontId="1" type="noConversion"/>
  </si>
  <si>
    <t>rssi_trim_2g</t>
    <phoneticPr fontId="1" type="noConversion"/>
  </si>
  <si>
    <t>rssi_trim_subg0</t>
    <phoneticPr fontId="1" type="noConversion"/>
  </si>
  <si>
    <t>rssi_trim_subg1</t>
    <phoneticPr fontId="1" type="noConversion"/>
  </si>
  <si>
    <t>rssi_trim_subg2</t>
    <phoneticPr fontId="1" type="noConversion"/>
  </si>
  <si>
    <t>0x5A010012</t>
    <phoneticPr fontId="1" type="noConversion"/>
  </si>
  <si>
    <t>Description</t>
    <phoneticPr fontId="1" type="noConversion"/>
  </si>
  <si>
    <t>TX_POWER_TRIM_2</t>
    <phoneticPr fontId="1" type="noConversion"/>
  </si>
  <si>
    <t>MP_ID</t>
    <phoneticPr fontId="1" type="noConversion"/>
  </si>
  <si>
    <t>MP_VALID</t>
    <phoneticPr fontId="1" type="noConversion"/>
  </si>
  <si>
    <t>Index 0 (U8)</t>
    <phoneticPr fontId="1" type="noConversion"/>
  </si>
  <si>
    <t>Index 3 (U8)</t>
    <phoneticPr fontId="1" type="noConversion"/>
  </si>
  <si>
    <t>Index 4 (U8)</t>
    <phoneticPr fontId="1" type="noConversion"/>
  </si>
  <si>
    <t>Index 5 (U8)</t>
    <phoneticPr fontId="1" type="noConversion"/>
  </si>
  <si>
    <t>flag</t>
    <phoneticPr fontId="1" type="noConversion"/>
  </si>
  <si>
    <t>tx_gain_idx_2g_oqpsk</t>
    <phoneticPr fontId="1" type="noConversion"/>
  </si>
  <si>
    <t>tx_gain_idx_subg0_oqpsk</t>
    <phoneticPr fontId="1" type="noConversion"/>
  </si>
  <si>
    <t>tx_gain_idx_subg_oqpsk</t>
    <phoneticPr fontId="1" type="noConversion"/>
  </si>
  <si>
    <t>tx_gain_idx_subg2_oqpsk</t>
    <phoneticPr fontId="1" type="noConversion"/>
  </si>
  <si>
    <t>Offset</t>
    <phoneticPr fontId="1" type="noConversion"/>
  </si>
  <si>
    <t>0x5A010014</t>
    <phoneticPr fontId="1" type="noConversion"/>
  </si>
  <si>
    <t>RF_TRIM_SUBG3</t>
    <phoneticPr fontId="1" type="noConversion"/>
  </si>
  <si>
    <t>cal_cfg</t>
    <phoneticPr fontId="1" type="noConversion"/>
  </si>
  <si>
    <t>0x5A010015</t>
    <phoneticPr fontId="1" type="noConversion"/>
  </si>
  <si>
    <t>TX_POWER_TRIM_3 
&amp; RSSI_TRIM_2</t>
    <phoneticPr fontId="1" type="noConversion"/>
  </si>
  <si>
    <t>Index 6 (U8)</t>
    <phoneticPr fontId="1" type="noConversion"/>
  </si>
  <si>
    <t>tx_gain_idx_subg3_fsk</t>
    <phoneticPr fontId="1" type="noConversion"/>
  </si>
  <si>
    <t>tx_gain_idx_subg3_oqpsk</t>
    <phoneticPr fontId="1" type="noConversion"/>
  </si>
  <si>
    <t>tx_gain_idx_subg4_fsk</t>
    <phoneticPr fontId="1" type="noConversion"/>
  </si>
  <si>
    <t>tx_gain_idx_subg4_oqpsk</t>
    <phoneticPr fontId="1" type="noConversion"/>
  </si>
  <si>
    <t>rssi_trim_subg3</t>
    <phoneticPr fontId="1" type="noConversion"/>
  </si>
  <si>
    <t>0x5A010016</t>
    <phoneticPr fontId="1" type="noConversion"/>
  </si>
  <si>
    <t>MP_ID</t>
    <phoneticPr fontId="1" type="noConversion"/>
  </si>
  <si>
    <t>MP_VALID</t>
    <phoneticPr fontId="1" type="noConversion"/>
  </si>
  <si>
    <t>Index 0 (U8)</t>
    <phoneticPr fontId="1" type="noConversion"/>
  </si>
  <si>
    <t>Index 1 (U8)</t>
    <phoneticPr fontId="1" type="noConversion"/>
  </si>
  <si>
    <t>Index 2 (U16)</t>
    <phoneticPr fontId="1" type="noConversion"/>
  </si>
  <si>
    <t>Index 3 (U16)</t>
    <phoneticPr fontId="1" type="noConversion"/>
  </si>
  <si>
    <t>Index 4 (S16)</t>
    <phoneticPr fontId="1" type="noConversion"/>
  </si>
  <si>
    <t>Index 5 (S16)</t>
    <phoneticPr fontId="1" type="noConversion"/>
  </si>
  <si>
    <t>Index 6 (U16)</t>
    <phoneticPr fontId="1" type="noConversion"/>
  </si>
  <si>
    <t>Index 7 (U16)</t>
    <phoneticPr fontId="1" type="noConversion"/>
  </si>
  <si>
    <t>Index 8 (U16)</t>
    <phoneticPr fontId="1" type="noConversion"/>
  </si>
  <si>
    <t>Index 10 (U8)</t>
    <phoneticPr fontId="1" type="noConversion"/>
  </si>
  <si>
    <t>Index 11 (U8)</t>
    <phoneticPr fontId="1" type="noConversion"/>
  </si>
  <si>
    <t>Index 12 (U8)</t>
    <phoneticPr fontId="1" type="noConversion"/>
  </si>
  <si>
    <t>Index 13 (U8)</t>
    <phoneticPr fontId="1" type="noConversion"/>
  </si>
  <si>
    <t>Index 14 (U8)</t>
    <phoneticPr fontId="1" type="noConversion"/>
  </si>
  <si>
    <t>Index 15 (U8)</t>
    <phoneticPr fontId="1" type="noConversion"/>
  </si>
  <si>
    <t>Index 16 (U8)</t>
    <phoneticPr fontId="1" type="noConversion"/>
  </si>
  <si>
    <t>Index 17 (U8)</t>
    <phoneticPr fontId="1" type="noConversion"/>
  </si>
  <si>
    <t>Index 18 (U8)</t>
    <phoneticPr fontId="1" type="noConversion"/>
  </si>
  <si>
    <t>Index 19 (U8)</t>
    <phoneticPr fontId="1" type="noConversion"/>
  </si>
  <si>
    <t>Index 20 (U8)</t>
    <phoneticPr fontId="1" type="noConversion"/>
  </si>
  <si>
    <t>Index 21 (U8)</t>
    <phoneticPr fontId="1" type="noConversion"/>
  </si>
  <si>
    <t>mode</t>
    <phoneticPr fontId="1" type="noConversion"/>
  </si>
  <si>
    <t>cal_cfg</t>
    <phoneticPr fontId="1" type="noConversion"/>
  </si>
  <si>
    <t>rx_filt_cap</t>
    <phoneticPr fontId="1" type="noConversion"/>
  </si>
  <si>
    <t>tx_dc_offset_i</t>
    <phoneticPr fontId="1" type="noConversion"/>
  </si>
  <si>
    <t>tx_dc_offset_q</t>
    <phoneticPr fontId="1" type="noConversion"/>
  </si>
  <si>
    <t>tx_iqc_b</t>
    <phoneticPr fontId="1" type="noConversion"/>
  </si>
  <si>
    <t>tx_iqc_c</t>
    <phoneticPr fontId="1" type="noConversion"/>
  </si>
  <si>
    <t>rx_tia_dc_i_code</t>
    <phoneticPr fontId="1" type="noConversion"/>
  </si>
  <si>
    <t>rx_tia_dc_i_path</t>
    <phoneticPr fontId="1" type="noConversion"/>
  </si>
  <si>
    <t>rx_tia_dc_q_code</t>
    <phoneticPr fontId="1" type="noConversion"/>
  </si>
  <si>
    <t>rx_tia_dc_q_path</t>
    <phoneticPr fontId="1" type="noConversion"/>
  </si>
  <si>
    <t>rx_iq_gain</t>
    <phoneticPr fontId="1" type="noConversion"/>
  </si>
  <si>
    <t>rx_iq_gain_sel</t>
    <phoneticPr fontId="1" type="noConversion"/>
  </si>
  <si>
    <t>rx_iq_gain_sel</t>
    <phoneticPr fontId="1" type="noConversion"/>
  </si>
  <si>
    <t>rx_iq_phase</t>
    <phoneticPr fontId="1" type="noConversion"/>
  </si>
  <si>
    <t>rx_iq_phase_sel</t>
    <phoneticPr fontId="1" type="noConversion"/>
  </si>
  <si>
    <t>rx_iq_phase_sel</t>
    <phoneticPr fontId="1" type="noConversion"/>
  </si>
  <si>
    <t>tx_hd3_lpf_pw</t>
    <phoneticPr fontId="1" type="noConversion"/>
  </si>
  <si>
    <t>tx_hd3_mixer_gain</t>
    <phoneticPr fontId="1" type="noConversion"/>
  </si>
  <si>
    <t>tx_hd3_mixer_lovcm</t>
    <phoneticPr fontId="1" type="noConversion"/>
  </si>
  <si>
    <t>tx_hd3_txlo_pw</t>
    <phoneticPr fontId="1" type="noConversion"/>
  </si>
  <si>
    <t>tx_hd3_txlo_pw</t>
    <phoneticPr fontId="1" type="noConversion"/>
  </si>
  <si>
    <t>tx_hd3_poly_gain</t>
    <phoneticPr fontId="1" type="noConversion"/>
  </si>
  <si>
    <t xml:space="preserve">
RT584Z
</t>
    <phoneticPr fontId="1" type="noConversion"/>
  </si>
  <si>
    <t xml:space="preserve">
RT584Z
</t>
    <phoneticPr fontId="1" type="noConversion"/>
  </si>
  <si>
    <t>Offset</t>
    <phoneticPr fontId="1" type="noConversion"/>
  </si>
  <si>
    <t>Byte Cnt</t>
    <phoneticPr fontId="1" type="noConversion"/>
  </si>
  <si>
    <t>Value</t>
    <phoneticPr fontId="1" type="noConversion"/>
  </si>
  <si>
    <t>0x00</t>
    <phoneticPr fontId="1" type="noConversion"/>
  </si>
  <si>
    <t>0xFFFF</t>
    <phoneticPr fontId="1" type="noConversion"/>
  </si>
  <si>
    <t>0xFFFF</t>
    <phoneticPr fontId="1" type="noConversion"/>
  </si>
  <si>
    <t>0xFF</t>
    <phoneticPr fontId="1" type="noConversion"/>
  </si>
  <si>
    <t>0xFF</t>
    <phoneticPr fontId="1" type="noConversion"/>
  </si>
  <si>
    <t>Note</t>
    <phoneticPr fontId="1" type="noConversion"/>
  </si>
  <si>
    <t xml:space="preserve">MP_NULL (0xFF)                
MP_VALID (0x7E)                    
MP_INVALID (0x00)                  </t>
    <phoneticPr fontId="1" type="noConversion"/>
  </si>
  <si>
    <t>0: bypass
1: Tool K
2: SW K</t>
    <phoneticPr fontId="1" type="noConversion"/>
  </si>
  <si>
    <t>MP_ID</t>
    <phoneticPr fontId="1" type="noConversion"/>
  </si>
  <si>
    <t>MP_VALID</t>
    <phoneticPr fontId="1" type="noConversion"/>
  </si>
  <si>
    <t>MP_CNT</t>
    <phoneticPr fontId="1" type="noConversion"/>
  </si>
  <si>
    <t>Index 0 (U8)</t>
    <phoneticPr fontId="1" type="noConversion"/>
  </si>
  <si>
    <t>Index 1 (U8)</t>
    <phoneticPr fontId="1" type="noConversion"/>
  </si>
  <si>
    <t>Index 4 (S16)</t>
    <phoneticPr fontId="1" type="noConversion"/>
  </si>
  <si>
    <t>Index 6 (U16)</t>
    <phoneticPr fontId="1" type="noConversion"/>
  </si>
  <si>
    <t>Index 7 (U16)</t>
    <phoneticPr fontId="1" type="noConversion"/>
  </si>
  <si>
    <t>Index 8 (U16)</t>
    <phoneticPr fontId="1" type="noConversion"/>
  </si>
  <si>
    <t>Index 9 (U8)</t>
    <phoneticPr fontId="1" type="noConversion"/>
  </si>
  <si>
    <t>Index 10 (U8)</t>
    <phoneticPr fontId="1" type="noConversion"/>
  </si>
  <si>
    <t>Index 12 (U8)</t>
    <phoneticPr fontId="1" type="noConversion"/>
  </si>
  <si>
    <t>Index 13 (U8)</t>
    <phoneticPr fontId="1" type="noConversion"/>
  </si>
  <si>
    <t>Index 14 (U8)</t>
    <phoneticPr fontId="1" type="noConversion"/>
  </si>
  <si>
    <t>Index 16 (U8)</t>
    <phoneticPr fontId="1" type="noConversion"/>
  </si>
  <si>
    <t>Index 17 (U8)</t>
    <phoneticPr fontId="1" type="noConversion"/>
  </si>
  <si>
    <t>Index 18 (U8)</t>
    <phoneticPr fontId="1" type="noConversion"/>
  </si>
  <si>
    <t>Index 19 (U8)</t>
    <phoneticPr fontId="1" type="noConversion"/>
  </si>
  <si>
    <t>Index 20 (U8)</t>
    <phoneticPr fontId="1" type="noConversion"/>
  </si>
  <si>
    <t>Index 21 (U8)</t>
    <phoneticPr fontId="1" type="noConversion"/>
  </si>
  <si>
    <t>flag</t>
    <phoneticPr fontId="1" type="noConversion"/>
  </si>
  <si>
    <t>mode</t>
    <phoneticPr fontId="1" type="noConversion"/>
  </si>
  <si>
    <t>cal_cfg</t>
    <phoneticPr fontId="1" type="noConversion"/>
  </si>
  <si>
    <t>rx_filt_cap</t>
    <phoneticPr fontId="1" type="noConversion"/>
  </si>
  <si>
    <t>tx_dc_offset_i</t>
    <phoneticPr fontId="1" type="noConversion"/>
  </si>
  <si>
    <t>tx_dc_offset_q</t>
    <phoneticPr fontId="1" type="noConversion"/>
  </si>
  <si>
    <t>tx_iqc_b</t>
    <phoneticPr fontId="1" type="noConversion"/>
  </si>
  <si>
    <t>tx_iqc_c</t>
    <phoneticPr fontId="1" type="noConversion"/>
  </si>
  <si>
    <t>rx_tia_dc_i_code</t>
    <phoneticPr fontId="1" type="noConversion"/>
  </si>
  <si>
    <t>rx_tia_dc_i_path</t>
    <phoneticPr fontId="1" type="noConversion"/>
  </si>
  <si>
    <t>rx_tia_dc_q_code</t>
    <phoneticPr fontId="1" type="noConversion"/>
  </si>
  <si>
    <t>rx_tia_dc_q_path</t>
    <phoneticPr fontId="1" type="noConversion"/>
  </si>
  <si>
    <t>rx_iq_gain</t>
    <phoneticPr fontId="1" type="noConversion"/>
  </si>
  <si>
    <t>rx_iq_gain_sel</t>
    <phoneticPr fontId="1" type="noConversion"/>
  </si>
  <si>
    <t>rx_iq_phase_sel</t>
    <phoneticPr fontId="1" type="noConversion"/>
  </si>
  <si>
    <t>tx_hd3_lpf_pw</t>
    <phoneticPr fontId="1" type="noConversion"/>
  </si>
  <si>
    <t>tx_hd3_mixer_gain</t>
    <phoneticPr fontId="1" type="noConversion"/>
  </si>
  <si>
    <t>tx_hd3_mixer_lovcm</t>
    <phoneticPr fontId="1" type="noConversion"/>
  </si>
  <si>
    <t>tx_hd3_poly_gain</t>
    <phoneticPr fontId="1" type="noConversion"/>
  </si>
  <si>
    <t>Offset</t>
    <phoneticPr fontId="1" type="noConversion"/>
  </si>
  <si>
    <t>Byte Cnt</t>
    <phoneticPr fontId="1" type="noConversion"/>
  </si>
  <si>
    <t>0x00</t>
    <phoneticPr fontId="1" type="noConversion"/>
  </si>
  <si>
    <t>0xFFFF</t>
    <phoneticPr fontId="1" type="noConversion"/>
  </si>
  <si>
    <t>0xFFFF</t>
    <phoneticPr fontId="1" type="noConversion"/>
  </si>
  <si>
    <t>0xFF</t>
    <phoneticPr fontId="1" type="noConversion"/>
  </si>
  <si>
    <t>0xFF</t>
    <phoneticPr fontId="1" type="noConversion"/>
  </si>
  <si>
    <t>0xFF</t>
    <phoneticPr fontId="1" type="noConversion"/>
  </si>
  <si>
    <t>0xFF</t>
    <phoneticPr fontId="1" type="noConversion"/>
  </si>
  <si>
    <t xml:space="preserve">MP_NULL (0xFF)                
MP_VALID (0x7E)                    
MP_INVALID (0x00)                  </t>
    <phoneticPr fontId="1" type="noConversion"/>
  </si>
  <si>
    <t>0: bypass
1: Tool K
2: SW K</t>
    <phoneticPr fontId="1" type="noConversion"/>
  </si>
  <si>
    <t>Description</t>
    <phoneticPr fontId="1" type="noConversion"/>
  </si>
  <si>
    <t>MP_CNT</t>
    <phoneticPr fontId="1" type="noConversion"/>
  </si>
  <si>
    <t>Index 4 (S16)</t>
    <phoneticPr fontId="1" type="noConversion"/>
  </si>
  <si>
    <t>Index 9 (U8)</t>
    <phoneticPr fontId="1" type="noConversion"/>
  </si>
  <si>
    <t>Index 10 (U8)</t>
    <phoneticPr fontId="1" type="noConversion"/>
  </si>
  <si>
    <t>Index 12 (U8)</t>
    <phoneticPr fontId="1" type="noConversion"/>
  </si>
  <si>
    <t>Index 15 (U8)</t>
    <phoneticPr fontId="1" type="noConversion"/>
  </si>
  <si>
    <t>Index 18 (U8)</t>
    <phoneticPr fontId="1" type="noConversion"/>
  </si>
  <si>
    <t>flag</t>
    <phoneticPr fontId="1" type="noConversion"/>
  </si>
  <si>
    <t>tx_iqc_a</t>
    <phoneticPr fontId="1" type="noConversion"/>
  </si>
  <si>
    <t>rx_tia_dc_i_path</t>
    <phoneticPr fontId="1" type="noConversion"/>
  </si>
  <si>
    <t>rx_iq_phase</t>
    <phoneticPr fontId="1" type="noConversion"/>
  </si>
  <si>
    <t>tx_hd3_poly_gain</t>
    <phoneticPr fontId="1" type="noConversion"/>
  </si>
  <si>
    <t>MP_ID</t>
    <phoneticPr fontId="1" type="noConversion"/>
  </si>
  <si>
    <t>MP_VALID</t>
    <phoneticPr fontId="1" type="noConversion"/>
  </si>
  <si>
    <t>MP_CNT</t>
    <phoneticPr fontId="1" type="noConversion"/>
  </si>
  <si>
    <t>Index 0 (U8)</t>
    <phoneticPr fontId="1" type="noConversion"/>
  </si>
  <si>
    <t>Index 1 (U8)</t>
    <phoneticPr fontId="1" type="noConversion"/>
  </si>
  <si>
    <t>Index 2 (U16)</t>
    <phoneticPr fontId="1" type="noConversion"/>
  </si>
  <si>
    <t>Index 3 (U16)</t>
    <phoneticPr fontId="1" type="noConversion"/>
  </si>
  <si>
    <t>Index 4 (S16)</t>
    <phoneticPr fontId="1" type="noConversion"/>
  </si>
  <si>
    <t>Index 5 (S16)</t>
    <phoneticPr fontId="1" type="noConversion"/>
  </si>
  <si>
    <t>Index 6 (U16)</t>
    <phoneticPr fontId="1" type="noConversion"/>
  </si>
  <si>
    <t>Index 7 (U16)</t>
    <phoneticPr fontId="1" type="noConversion"/>
  </si>
  <si>
    <t>Index 8 (U16)</t>
    <phoneticPr fontId="1" type="noConversion"/>
  </si>
  <si>
    <t>Index 10 (U8)</t>
    <phoneticPr fontId="1" type="noConversion"/>
  </si>
  <si>
    <t>Index 12 (U8)</t>
    <phoneticPr fontId="1" type="noConversion"/>
  </si>
  <si>
    <t>Index 13 (U8)</t>
    <phoneticPr fontId="1" type="noConversion"/>
  </si>
  <si>
    <t>Index 14 (U8)</t>
    <phoneticPr fontId="1" type="noConversion"/>
  </si>
  <si>
    <t>Index 16 (U8)</t>
    <phoneticPr fontId="1" type="noConversion"/>
  </si>
  <si>
    <t>Index 17 (U8)</t>
    <phoneticPr fontId="1" type="noConversion"/>
  </si>
  <si>
    <t>Index 18 (U8)</t>
    <phoneticPr fontId="1" type="noConversion"/>
  </si>
  <si>
    <t>Index 19 (U8)</t>
    <phoneticPr fontId="1" type="noConversion"/>
  </si>
  <si>
    <t>Index 21 (U8)</t>
    <phoneticPr fontId="1" type="noConversion"/>
  </si>
  <si>
    <t>flag</t>
    <phoneticPr fontId="1" type="noConversion"/>
  </si>
  <si>
    <t>cal_cfg</t>
    <phoneticPr fontId="1" type="noConversion"/>
  </si>
  <si>
    <t>tx_dc_offset_i</t>
    <phoneticPr fontId="1" type="noConversion"/>
  </si>
  <si>
    <t>tx_dc_offset_q</t>
    <phoneticPr fontId="1" type="noConversion"/>
  </si>
  <si>
    <t>tx_iqc_a</t>
    <phoneticPr fontId="1" type="noConversion"/>
  </si>
  <si>
    <t>tx_iqc_b</t>
    <phoneticPr fontId="1" type="noConversion"/>
  </si>
  <si>
    <t>rx_tia_dc_i_code</t>
    <phoneticPr fontId="1" type="noConversion"/>
  </si>
  <si>
    <t>rx_tia_dc_i_path</t>
    <phoneticPr fontId="1" type="noConversion"/>
  </si>
  <si>
    <t>rx_tia_dc_q_code</t>
    <phoneticPr fontId="1" type="noConversion"/>
  </si>
  <si>
    <t>rx_tia_dc_q_path</t>
    <phoneticPr fontId="1" type="noConversion"/>
  </si>
  <si>
    <t>rx_iq_gain</t>
    <phoneticPr fontId="1" type="noConversion"/>
  </si>
  <si>
    <t>rx_iq_phase</t>
    <phoneticPr fontId="1" type="noConversion"/>
  </si>
  <si>
    <t>rx_iq_phase_sel</t>
    <phoneticPr fontId="1" type="noConversion"/>
  </si>
  <si>
    <t>tx_hd3_lpf_pw</t>
    <phoneticPr fontId="1" type="noConversion"/>
  </si>
  <si>
    <t>tx_hd3_mixer_gain</t>
    <phoneticPr fontId="1" type="noConversion"/>
  </si>
  <si>
    <t>tx_hd3_mixer_lovcm</t>
    <phoneticPr fontId="1" type="noConversion"/>
  </si>
  <si>
    <t>tx_hd3_txlo_pw</t>
    <phoneticPr fontId="1" type="noConversion"/>
  </si>
  <si>
    <t>tx_hd3_poly_gain</t>
    <phoneticPr fontId="1" type="noConversion"/>
  </si>
  <si>
    <t>Offset</t>
    <phoneticPr fontId="1" type="noConversion"/>
  </si>
  <si>
    <t>0x00</t>
    <phoneticPr fontId="1" type="noConversion"/>
  </si>
  <si>
    <t>0xFFFF</t>
    <phoneticPr fontId="1" type="noConversion"/>
  </si>
  <si>
    <t>0xFF</t>
    <phoneticPr fontId="1" type="noConversion"/>
  </si>
  <si>
    <t>0: bypass
1: Tool K
2: SW K</t>
    <phoneticPr fontId="1" type="noConversion"/>
  </si>
  <si>
    <t>Index 18 (U8)</t>
    <phoneticPr fontId="1" type="noConversion"/>
  </si>
  <si>
    <t>Index 19 (U8)</t>
    <phoneticPr fontId="1" type="noConversion"/>
  </si>
  <si>
    <t xml:space="preserve">
RT584Z
</t>
    <phoneticPr fontId="1" type="noConversion"/>
  </si>
  <si>
    <t>0x5A01001F</t>
    <phoneticPr fontId="1" type="noConversion"/>
  </si>
  <si>
    <t>RF_TRIM_584_2P4G</t>
    <phoneticPr fontId="1" type="noConversion"/>
  </si>
  <si>
    <t>RF_TRIM_584_SUBG0</t>
    <phoneticPr fontId="1" type="noConversion"/>
  </si>
  <si>
    <t>RF_TRIM_584_SUBG1</t>
    <phoneticPr fontId="1" type="noConversion"/>
  </si>
  <si>
    <t>RF_TRIM_584_SUBG2</t>
    <phoneticPr fontId="1" type="noConversion"/>
  </si>
  <si>
    <t>RF_TRIM_584_SUBG3</t>
    <phoneticPr fontId="1" type="noConversion"/>
  </si>
  <si>
    <t>0x5A010017</t>
    <phoneticPr fontId="1" type="noConversion"/>
  </si>
  <si>
    <t>0x5A010018</t>
    <phoneticPr fontId="1" type="noConversion"/>
  </si>
  <si>
    <t>0x5A010019</t>
    <phoneticPr fontId="1" type="noConversion"/>
  </si>
  <si>
    <t>0x5A01001A</t>
    <phoneticPr fontId="1" type="noConversion"/>
  </si>
  <si>
    <t>0x5A01001B</t>
    <phoneticPr fontId="1" type="noConversion"/>
  </si>
  <si>
    <t>0x5A01001C</t>
    <phoneticPr fontId="1" type="noConversion"/>
  </si>
  <si>
    <t>0x5A01001D</t>
    <phoneticPr fontId="1" type="noConversion"/>
  </si>
  <si>
    <t>0x5A01001E</t>
    <phoneticPr fontId="1" type="noConversion"/>
  </si>
  <si>
    <t>RETLDO</t>
    <phoneticPr fontId="1" type="noConversion"/>
  </si>
  <si>
    <t>SLDO/LDODIG</t>
    <phoneticPr fontId="1" type="noConversion"/>
  </si>
  <si>
    <t>IOLDO/LDOANA</t>
    <phoneticPr fontId="1" type="noConversion"/>
  </si>
  <si>
    <t>LLDO/LDOMV</t>
    <phoneticPr fontId="1" type="noConversion"/>
  </si>
  <si>
    <t xml:space="preserve">Note
</t>
    <phoneticPr fontId="1" type="noConversion"/>
  </si>
  <si>
    <t xml:space="preserve">Note
</t>
    <phoneticPr fontId="1" type="noConversion"/>
  </si>
  <si>
    <t>0xF0</t>
    <phoneticPr fontId="1" type="noConversion"/>
  </si>
  <si>
    <t>Index 1(U8)</t>
  </si>
  <si>
    <t>Index 2(U8)</t>
  </si>
  <si>
    <t>Index 3(U8)</t>
  </si>
  <si>
    <t>flag</t>
  </si>
  <si>
    <t>rx_iq_gain</t>
  </si>
  <si>
    <t>rx_iq_gain_sel</t>
  </si>
  <si>
    <t>rx_iq_phase</t>
  </si>
  <si>
    <t>rx_iq_phase_sel</t>
  </si>
  <si>
    <t>MP Sector Information</t>
    <phoneticPr fontId="1" type="noConversion"/>
  </si>
  <si>
    <t>Calibration Data
Sector Address</t>
    <phoneticPr fontId="1" type="noConversion"/>
  </si>
  <si>
    <t>Calibration Data
Sector Size</t>
    <phoneticPr fontId="1" type="noConversion"/>
  </si>
  <si>
    <t>BLE Info
Sector Address</t>
    <phoneticPr fontId="1" type="noConversion"/>
  </si>
  <si>
    <t>BLE Info
Sector Size</t>
    <phoneticPr fontId="1" type="noConversion"/>
  </si>
  <si>
    <t>Zigbee Info
Sector Address</t>
    <phoneticPr fontId="1" type="noConversion"/>
  </si>
  <si>
    <t>Zigbee Info
Sector Size</t>
    <phoneticPr fontId="1" type="noConversion"/>
  </si>
  <si>
    <t>Reserved</t>
    <phoneticPr fontId="1" type="noConversion"/>
  </si>
  <si>
    <t>MP Sector Calibration</t>
    <phoneticPr fontId="1" type="noConversion"/>
  </si>
  <si>
    <t>MP Sector Version</t>
    <phoneticPr fontId="1" type="noConversion"/>
  </si>
  <si>
    <t>MP Sector Size</t>
    <phoneticPr fontId="1" type="noConversion"/>
  </si>
  <si>
    <t>0xFC0</t>
    <phoneticPr fontId="1" type="noConversion"/>
  </si>
  <si>
    <t>0xFC4</t>
    <phoneticPr fontId="1" type="noConversion"/>
  </si>
  <si>
    <t>0x0FC8</t>
    <phoneticPr fontId="1" type="noConversion"/>
  </si>
  <si>
    <t>0xFCC</t>
    <phoneticPr fontId="1" type="noConversion"/>
  </si>
  <si>
    <t>0xFD0</t>
    <phoneticPr fontId="1" type="noConversion"/>
  </si>
  <si>
    <t>0xFD4</t>
    <phoneticPr fontId="1" type="noConversion"/>
  </si>
  <si>
    <t>0xFD8~0xFF0</t>
    <phoneticPr fontId="1" type="noConversion"/>
  </si>
  <si>
    <t>0xFF4</t>
    <phoneticPr fontId="1" type="noConversion"/>
  </si>
  <si>
    <t>0xFF8</t>
    <phoneticPr fontId="1" type="noConversion"/>
  </si>
  <si>
    <t>0xFFC</t>
    <phoneticPr fontId="1" type="noConversion"/>
  </si>
  <si>
    <t>Value</t>
    <phoneticPr fontId="1" type="noConversion"/>
  </si>
  <si>
    <t>0x1000</t>
    <phoneticPr fontId="1" type="noConversion"/>
  </si>
  <si>
    <t>0xFC000</t>
    <phoneticPr fontId="1" type="noConversion"/>
  </si>
  <si>
    <t>0x2000</t>
    <phoneticPr fontId="1" type="noConversion"/>
  </si>
  <si>
    <t>0xF4000</t>
    <phoneticPr fontId="1" type="noConversion"/>
  </si>
  <si>
    <t>0x8000</t>
    <phoneticPr fontId="1" type="noConversion"/>
  </si>
  <si>
    <t>0xFFFFFFFF</t>
    <phoneticPr fontId="1" type="noConversion"/>
  </si>
  <si>
    <t>0x10000</t>
    <phoneticPr fontId="1" type="noConversion"/>
  </si>
  <si>
    <t>Note</t>
    <phoneticPr fontId="1" type="noConversion"/>
  </si>
  <si>
    <t xml:space="preserve">Please refer to MP_Sector_Calibration sheet for details </t>
    <phoneticPr fontId="1" type="noConversion"/>
  </si>
  <si>
    <t xml:space="preserve">Please refer to MP_Sector_BLE
sheet for details </t>
    <phoneticPr fontId="1" type="noConversion"/>
  </si>
  <si>
    <t xml:space="preserve">Please refer to MP_Sector_Zigbee
sheet for details </t>
    <phoneticPr fontId="1" type="noConversion"/>
  </si>
  <si>
    <t>0x58570002</t>
    <phoneticPr fontId="1" type="noConversion"/>
  </si>
  <si>
    <t>0x5A3C0001</t>
    <phoneticPr fontId="1" type="noConversion"/>
  </si>
  <si>
    <t>0x10</t>
    <phoneticPr fontId="1" type="noConversion"/>
  </si>
  <si>
    <t>0x20</t>
    <phoneticPr fontId="1" type="noConversion"/>
  </si>
  <si>
    <t>0x5C</t>
    <phoneticPr fontId="1" type="noConversion"/>
  </si>
  <si>
    <t>0x14</t>
    <phoneticPr fontId="1" type="noConversion"/>
  </si>
  <si>
    <t>0xEB</t>
    <phoneticPr fontId="1" type="noConversion"/>
  </si>
  <si>
    <t>0x01</t>
    <phoneticPr fontId="1" type="noConversion"/>
  </si>
  <si>
    <t>4-Byte Extension Identifier</t>
    <phoneticPr fontId="1" type="noConversion"/>
  </si>
  <si>
    <t>Manufacturer ID</t>
    <phoneticPr fontId="1" type="noConversion"/>
  </si>
  <si>
    <t>EUI-64 Structure</t>
    <phoneticPr fontId="1" type="noConversion"/>
  </si>
  <si>
    <t>3-Byte OUI</t>
    <phoneticPr fontId="1" type="noConversion"/>
  </si>
  <si>
    <t>RT581
RT582
RT583
RT584Z/L/H/S</t>
    <phoneticPr fontId="1" type="noConversion"/>
  </si>
  <si>
    <t>RT581(LLDO)
RT582(LLDO)
RT583(LLDO)
RT584Z/L/H/S
(LDOMV)</t>
    <phoneticPr fontId="1" type="noConversion"/>
  </si>
  <si>
    <t xml:space="preserve">RT581 (IOLDO)
RT582 (X)
RT583 (X)
RT584Z/L/H/S
(LODANA)
</t>
    <phoneticPr fontId="1" type="noConversion"/>
  </si>
  <si>
    <t xml:space="preserve">RT581(SLDO)
RT582(SLDO)
RT583(SLDO)
RT584Z/L/H/S
(LDODIG)
</t>
    <phoneticPr fontId="1" type="noConversion"/>
  </si>
  <si>
    <t xml:space="preserve">RT581(SIOLDO)
RT582(X)
RT583(X)
RT584Z/L/H/S
(RETLDO)
</t>
    <phoneticPr fontId="1" type="noConversion"/>
  </si>
  <si>
    <t xml:space="preserve">RT581
RT582
RT583
RT584Z/L/H/S
</t>
    <phoneticPr fontId="1" type="noConversion"/>
  </si>
  <si>
    <t xml:space="preserve">RT581
RT582
RT583
RT584Z/L/H/S
</t>
    <phoneticPr fontId="1" type="noConversion"/>
  </si>
  <si>
    <t xml:space="preserve">RT581
RT582
RT583
RT584Z/L/H/S
</t>
    <phoneticPr fontId="1" type="noConversion"/>
  </si>
  <si>
    <t xml:space="preserve">RT581
RT582
RT583
RT584Z/L/H/S
</t>
    <phoneticPr fontId="1" type="noConversion"/>
  </si>
  <si>
    <t xml:space="preserve">RT581
RT582
RT583
</t>
    <phoneticPr fontId="1" type="noConversion"/>
  </si>
  <si>
    <t>RT581
RT582
RT583
RT584L
RT584H</t>
    <phoneticPr fontId="1" type="noConversion"/>
  </si>
  <si>
    <t>RT581
RT582
RT583
RT584S</t>
    <phoneticPr fontId="1" type="noConversion"/>
  </si>
  <si>
    <t>RT581
RT582
RT583
RT584S</t>
    <phoneticPr fontId="1" type="noConversion"/>
  </si>
  <si>
    <t>RT581
RT582
RT583
RT584L
RT584H
RT584S</t>
    <phoneticPr fontId="1" type="noConversion"/>
  </si>
  <si>
    <t>RT584Z/L/H/S</t>
    <phoneticPr fontId="1" type="noConversion"/>
  </si>
  <si>
    <t>RT584Z/L/H/S</t>
    <phoneticPr fontId="1" type="noConversion"/>
  </si>
  <si>
    <t>RT581
RT582
RT583
RT584L
RT584H
RT584S</t>
    <phoneticPr fontId="1" type="noConversion"/>
  </si>
  <si>
    <t>RT581
RT582
RT583
RT584L
RT584H
RT584S</t>
    <phoneticPr fontId="1" type="noConversion"/>
  </si>
  <si>
    <t>RT581
RT582
RT583
RT584L
RT584H
RT584S</t>
    <phoneticPr fontId="1" type="noConversion"/>
  </si>
  <si>
    <t>0xFF000</t>
    <phoneticPr fontId="1" type="noConversion"/>
  </si>
  <si>
    <t>0x1FF000</t>
    <phoneticPr fontId="1" type="noConversion"/>
  </si>
  <si>
    <t>RT584H/L</t>
    <phoneticPr fontId="1" type="noConversion"/>
  </si>
  <si>
    <t>RT584S/Z</t>
    <phoneticPr fontId="1" type="noConversion"/>
  </si>
  <si>
    <t>0x1FC000</t>
    <phoneticPr fontId="1" type="noConversion"/>
  </si>
  <si>
    <t>0x1F4000</t>
    <phoneticPr fontId="1" type="noConversion"/>
  </si>
  <si>
    <t>0x05</t>
    <phoneticPr fontId="1" type="noConversion"/>
  </si>
  <si>
    <t>Index 0 (U8)</t>
    <phoneticPr fontId="1" type="noConversion"/>
  </si>
  <si>
    <t>Index 5 (U8)</t>
    <phoneticPr fontId="1" type="noConversion"/>
  </si>
  <si>
    <t>Index 2 (U8)</t>
    <phoneticPr fontId="1" type="noConversion"/>
  </si>
  <si>
    <t>Index 3 (U8)</t>
    <phoneticPr fontId="1" type="noConversion"/>
  </si>
  <si>
    <t>Index 4 (U8)</t>
    <phoneticPr fontId="1" type="noConversion"/>
  </si>
  <si>
    <t>Value (dec)</t>
    <phoneticPr fontId="1" type="noConversion"/>
  </si>
  <si>
    <t>LLDO</t>
    <phoneticPr fontId="1" type="noConversion"/>
  </si>
  <si>
    <t>IOLDO</t>
    <phoneticPr fontId="1" type="noConversion"/>
  </si>
  <si>
    <t>vosel_1</t>
    <phoneticPr fontId="1" type="noConversion"/>
  </si>
  <si>
    <t>sLDO</t>
    <phoneticPr fontId="1" type="noConversion"/>
  </si>
  <si>
    <t>sIOLDO</t>
    <phoneticPr fontId="1" type="noConversion"/>
  </si>
  <si>
    <t>Index 4 (U16)</t>
    <phoneticPr fontId="1" type="noConversion"/>
  </si>
  <si>
    <t>voltage_1</t>
    <phoneticPr fontId="1" type="noConversion"/>
  </si>
  <si>
    <t>voltage_2</t>
    <phoneticPr fontId="1" type="noConversion"/>
  </si>
  <si>
    <t>voltage_3</t>
    <phoneticPr fontId="1" type="noConversion"/>
  </si>
  <si>
    <t>Index 1 (U16)</t>
    <phoneticPr fontId="1" type="noConversion"/>
  </si>
  <si>
    <t>Index 6 (U16)</t>
    <phoneticPr fontId="1" type="noConversion"/>
  </si>
  <si>
    <t>flag</t>
    <phoneticPr fontId="1" type="noConversion"/>
  </si>
  <si>
    <t>ADC</t>
    <phoneticPr fontId="1" type="noConversion"/>
  </si>
  <si>
    <t>0xA0</t>
    <phoneticPr fontId="1" type="noConversion"/>
  </si>
  <si>
    <t>Power Fail</t>
    <phoneticPr fontId="1" type="noConversion"/>
  </si>
  <si>
    <t>Temp sensor ADC</t>
    <phoneticPr fontId="1" type="noConversion"/>
  </si>
  <si>
    <r>
      <rPr>
        <sz val="11"/>
        <color rgb="FF0000FF"/>
        <rFont val="Arial Black"/>
        <family val="2"/>
      </rPr>
      <t>Security Key Address</t>
    </r>
    <r>
      <rPr>
        <sz val="11"/>
        <rFont val="Arial Black"/>
        <family val="2"/>
      </rPr>
      <t xml:space="preserve"> : 0x1000~0x10FF</t>
    </r>
    <phoneticPr fontId="1" type="noConversion"/>
  </si>
  <si>
    <t>0x04</t>
    <phoneticPr fontId="1" type="noConversion"/>
  </si>
  <si>
    <t>0x0F</t>
    <phoneticPr fontId="1" type="noConversion"/>
  </si>
  <si>
    <t>public key</t>
    <phoneticPr fontId="1" type="noConversion"/>
  </si>
  <si>
    <t>Index 1 (U8)</t>
    <phoneticPr fontId="1" type="noConversion"/>
  </si>
  <si>
    <t>Index 8(U8)</t>
    <phoneticPr fontId="1" type="noConversion"/>
  </si>
  <si>
    <t>Index10 (U8)</t>
    <phoneticPr fontId="1" type="noConversion"/>
  </si>
  <si>
    <t>Index10 (U8)</t>
    <phoneticPr fontId="1" type="noConversion"/>
  </si>
  <si>
    <t>Index 11 (U8)</t>
    <phoneticPr fontId="1" type="noConversion"/>
  </si>
  <si>
    <t>0x20</t>
    <phoneticPr fontId="1" type="noConversion"/>
  </si>
  <si>
    <t>Index 7 (U8)</t>
    <phoneticPr fontId="1" type="noConversion"/>
  </si>
  <si>
    <t>Index 15 (U8)</t>
    <phoneticPr fontId="1" type="noConversion"/>
  </si>
  <si>
    <t>0x30</t>
    <phoneticPr fontId="1" type="noConversion"/>
  </si>
  <si>
    <t>Index 6 (U8)</t>
    <phoneticPr fontId="1" type="noConversion"/>
  </si>
  <si>
    <t>Index 9 (U8)</t>
    <phoneticPr fontId="1" type="noConversion"/>
  </si>
  <si>
    <r>
      <rPr>
        <sz val="11"/>
        <color rgb="FF0000FF"/>
        <rFont val="Arial Black"/>
        <family val="2"/>
      </rPr>
      <t>MAC ID Address</t>
    </r>
    <r>
      <rPr>
        <sz val="11"/>
        <rFont val="Arial Black"/>
        <family val="2"/>
      </rPr>
      <t xml:space="preserve"> : 0x1100~0x13FF</t>
    </r>
    <phoneticPr fontId="1" type="noConversion"/>
  </si>
  <si>
    <t>0x06</t>
    <phoneticPr fontId="1" type="noConversion"/>
  </si>
  <si>
    <t>0x09</t>
    <phoneticPr fontId="1" type="noConversion"/>
  </si>
  <si>
    <t>mac addr</t>
    <phoneticPr fontId="1" type="noConversion"/>
  </si>
  <si>
    <t>Index 8(U8)</t>
    <phoneticPr fontId="1" type="noConversion"/>
  </si>
  <si>
    <t>BLE mac address</t>
    <phoneticPr fontId="1" type="noConversion"/>
  </si>
  <si>
    <t>ZigBee mac address</t>
    <phoneticPr fontId="1" type="noConversion"/>
  </si>
  <si>
    <t>key</t>
    <phoneticPr fontId="1" type="noConversion"/>
  </si>
  <si>
    <t>BLE Identity Resolving Key</t>
    <phoneticPr fontId="1" type="noConversion"/>
  </si>
  <si>
    <t xml:space="preserve">
0x00</t>
    <phoneticPr fontId="1" type="noConversion"/>
  </si>
  <si>
    <r>
      <t xml:space="preserve">OFFSET 0x00 and 0x01  BLE Address Type </t>
    </r>
    <r>
      <rPr>
        <sz val="11"/>
        <color theme="1"/>
        <rFont val="細明體"/>
        <family val="3"/>
        <charset val="136"/>
      </rPr>
      <t>，</t>
    </r>
    <r>
      <rPr>
        <sz val="11"/>
        <color theme="1"/>
        <rFont val="Calibri"/>
        <family val="2"/>
      </rPr>
      <t xml:space="preserve">Option Item RANDOM / PUBLIC </t>
    </r>
    <r>
      <rPr>
        <sz val="11"/>
        <color theme="1"/>
        <rFont val="Calibri"/>
        <family val="2"/>
      </rPr>
      <t xml:space="preserve">
</t>
    </r>
    <phoneticPr fontId="1" type="noConversion"/>
  </si>
  <si>
    <t>OFFSET 0x02 -0x07  BLE MAC address (6 bytes mac address)</t>
    <phoneticPr fontId="1" type="noConversion"/>
  </si>
  <si>
    <t>OFFSET 0x08  - 0x0F  Zigbee / THREAD MAC Address ( 8 bytes mac address)</t>
    <phoneticPr fontId="1" type="noConversion"/>
  </si>
  <si>
    <t xml:space="preserve">
0x01</t>
    <phoneticPr fontId="1" type="noConversion"/>
  </si>
  <si>
    <r>
      <t>OFFSET 0x01 – 0x0F  Random Number 16 Bytes</t>
    </r>
    <r>
      <rPr>
        <sz val="11"/>
        <color theme="1"/>
        <rFont val="細明體"/>
        <family val="3"/>
        <charset val="136"/>
      </rPr>
      <t>。</t>
    </r>
    <phoneticPr fontId="1" type="noConversion"/>
  </si>
  <si>
    <t>FT Calibration Address : 0x2000~0x23FF (RT581)
FT Calibration Address : 0x0000~0x03FF (RT582/RT583)</t>
    <phoneticPr fontId="1" type="noConversion"/>
  </si>
  <si>
    <t>MP Sector Information</t>
    <phoneticPr fontId="1" type="noConversion"/>
  </si>
  <si>
    <t>Calibration Data
Sector Address</t>
    <phoneticPr fontId="1" type="noConversion"/>
  </si>
  <si>
    <t>Calibration Data
Sector Size</t>
    <phoneticPr fontId="1" type="noConversion"/>
  </si>
  <si>
    <t>BLE Info
Sector Address</t>
    <phoneticPr fontId="1" type="noConversion"/>
  </si>
  <si>
    <t>BLE Info
Sector Size</t>
    <phoneticPr fontId="1" type="noConversion"/>
  </si>
  <si>
    <t>Zigbee Info
Sector Address</t>
    <phoneticPr fontId="1" type="noConversion"/>
  </si>
  <si>
    <t>Zigbee Info
Sector Size</t>
    <phoneticPr fontId="1" type="noConversion"/>
  </si>
  <si>
    <t>Reserved</t>
    <phoneticPr fontId="1" type="noConversion"/>
  </si>
  <si>
    <t>MP Sector Version</t>
    <phoneticPr fontId="1" type="noConversion"/>
  </si>
  <si>
    <t>MP Sector Size</t>
    <phoneticPr fontId="1" type="noConversion"/>
  </si>
  <si>
    <t>Offset</t>
    <phoneticPr fontId="1" type="noConversion"/>
  </si>
  <si>
    <t>0x000</t>
    <phoneticPr fontId="1" type="noConversion"/>
  </si>
  <si>
    <t>0x004</t>
    <phoneticPr fontId="1" type="noConversion"/>
  </si>
  <si>
    <t>0x008</t>
    <phoneticPr fontId="1" type="noConversion"/>
  </si>
  <si>
    <t>0x00C</t>
    <phoneticPr fontId="1" type="noConversion"/>
  </si>
  <si>
    <t>0x010</t>
    <phoneticPr fontId="1" type="noConversion"/>
  </si>
  <si>
    <t>0x014</t>
    <phoneticPr fontId="1" type="noConversion"/>
  </si>
  <si>
    <t>0x018~0xFF3</t>
    <phoneticPr fontId="1" type="noConversion"/>
  </si>
  <si>
    <t>0xFFC</t>
    <phoneticPr fontId="1" type="noConversion"/>
  </si>
  <si>
    <t>Byte Cnt</t>
    <phoneticPr fontId="1" type="noConversion"/>
  </si>
  <si>
    <t>Value</t>
    <phoneticPr fontId="1" type="noConversion"/>
  </si>
  <si>
    <t>0x1FE000</t>
    <phoneticPr fontId="1" type="noConversion"/>
  </si>
  <si>
    <t>0x1000</t>
    <phoneticPr fontId="1" type="noConversion"/>
  </si>
  <si>
    <t>0x1FC000</t>
    <phoneticPr fontId="1" type="noConversion"/>
  </si>
  <si>
    <t>0x2000</t>
    <phoneticPr fontId="1" type="noConversion"/>
  </si>
  <si>
    <t>0x1F4000</t>
    <phoneticPr fontId="1" type="noConversion"/>
  </si>
  <si>
    <t>0x8000</t>
    <phoneticPr fontId="1" type="noConversion"/>
  </si>
  <si>
    <t>All '1'</t>
    <phoneticPr fontId="1" type="noConversion"/>
  </si>
  <si>
    <t>0x5A3C0001</t>
    <phoneticPr fontId="1" type="noConversion"/>
  </si>
  <si>
    <t>0x58570002</t>
    <phoneticPr fontId="1" type="noConversion"/>
  </si>
  <si>
    <t>0x10000</t>
    <phoneticPr fontId="1" type="noConversion"/>
  </si>
  <si>
    <t>Note</t>
    <phoneticPr fontId="1" type="noConversion"/>
  </si>
  <si>
    <t xml:space="preserve">Please refer to MP_Sector_Calibration sheet for details </t>
    <phoneticPr fontId="1" type="noConversion"/>
  </si>
  <si>
    <t>0x5A3C0001: Tool K
0x5A3C0002: SW K</t>
    <phoneticPr fontId="1" type="noConversion"/>
  </si>
  <si>
    <t>0x58570002: valid MP Sector</t>
    <phoneticPr fontId="1" type="noConversion"/>
  </si>
  <si>
    <t>0x0FE000</t>
    <phoneticPr fontId="1" type="noConversion"/>
  </si>
  <si>
    <t>0x0FC000</t>
    <phoneticPr fontId="1" type="noConversion"/>
  </si>
  <si>
    <t>0x0F4000</t>
    <phoneticPr fontId="1" type="noConversion"/>
  </si>
  <si>
    <t>RT583</t>
    <phoneticPr fontId="1" type="noConversion"/>
  </si>
  <si>
    <t>RT581/2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</si>
</sst>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新細明體"/>
      <family val="2"/>
      <scheme val="minor"/>
    </font>
    <font>
      <sz val="9"/>
      <name val="新細明體"/>
      <family val="3"/>
      <charset val="136"/>
      <scheme val="minor"/>
    </font>
    <font>
      <sz val="11"/>
      <color theme="1"/>
      <name val="Calibri"/>
      <family val="2"/>
    </font>
    <font>
      <sz val="11"/>
      <color rgb="FFFF0000"/>
      <name val="Calibri"/>
      <family val="2"/>
    </font>
    <font>
      <sz val="11"/>
      <name val="Calibri"/>
      <family val="2"/>
    </font>
    <font>
      <b/>
      <sz val="14"/>
      <color theme="1"/>
      <name val="Calibri"/>
      <family val="2"/>
    </font>
    <font>
      <sz val="11"/>
      <name val="Arial Black"/>
      <family val="2"/>
    </font>
    <font>
      <sz val="11"/>
      <color rgb="FF0000FF"/>
      <name val="Arial Black"/>
      <family val="2"/>
    </font>
    <font>
      <b/>
      <sz val="26"/>
      <color theme="1"/>
      <name val="Calibri"/>
      <family val="2"/>
    </font>
    <font>
      <sz val="26"/>
      <color theme="1"/>
      <name val="新細明體"/>
      <family val="2"/>
      <scheme val="minor"/>
    </font>
    <font>
      <sz val="16"/>
      <color theme="1"/>
      <name val="Arial"/>
      <family val="2"/>
    </font>
    <font>
      <b/>
      <sz val="14"/>
      <color rgb="FF0000FF"/>
      <name val="Calibri"/>
      <family val="2"/>
    </font>
    <font>
      <sz val="11"/>
      <color rgb="FF0000FF"/>
      <name val="Calibri"/>
      <family val="2"/>
    </font>
    <font>
      <sz val="14"/>
      <color theme="1"/>
      <name val="Calibri"/>
      <family val="2"/>
    </font>
    <font>
      <b/>
      <sz val="11"/>
      <color rgb="FF0000FF"/>
      <name val="Calibri"/>
      <family val="2"/>
    </font>
    <font>
      <b/>
      <sz val="11"/>
      <color theme="1"/>
      <name val="新細明體"/>
      <family val="2"/>
      <scheme val="minor"/>
    </font>
    <font>
      <sz val="11"/>
      <color rgb="FF000000"/>
      <name val="Calibri"/>
      <family val="2"/>
    </font>
    <font>
      <u/>
      <sz val="11"/>
      <color theme="10"/>
      <name val="新細明體"/>
      <family val="2"/>
      <scheme val="minor"/>
    </font>
    <font>
      <b/>
      <sz val="11"/>
      <color theme="1"/>
      <name val="Calibri"/>
      <family val="2"/>
    </font>
    <font>
      <sz val="11"/>
      <color theme="7" tint="0.79998168889431442"/>
      <name val="Calibri"/>
      <family val="2"/>
    </font>
    <font>
      <sz val="11"/>
      <color theme="1"/>
      <name val="細明體"/>
      <family val="3"/>
      <charset val="136"/>
    </font>
  </fonts>
  <fills count="15">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59996337778862885"/>
        <bgColor indexed="64"/>
      </patternFill>
    </fill>
    <fill>
      <patternFill patternType="solid">
        <fgColor rgb="FFD9E1F2"/>
        <bgColor indexed="64"/>
      </patternFill>
    </fill>
    <fill>
      <patternFill patternType="solid">
        <fgColor rgb="FFE2EFDA"/>
        <bgColor indexed="64"/>
      </patternFill>
    </fill>
    <fill>
      <patternFill patternType="solid">
        <fgColor rgb="FFFFF2CC"/>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2">
    <xf numFmtId="0" fontId="0" fillId="0" borderId="0"/>
    <xf numFmtId="0" fontId="17" fillId="0" borderId="0" applyNumberFormat="0" applyFill="0" applyBorder="0" applyAlignment="0" applyProtection="0"/>
  </cellStyleXfs>
  <cellXfs count="162">
    <xf numFmtId="0" fontId="0" fillId="0" borderId="0" xfId="0"/>
    <xf numFmtId="0" fontId="2" fillId="0" borderId="0" xfId="0" applyFont="1" applyAlignment="1">
      <alignment horizontal="center"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0" borderId="0" xfId="0" applyFont="1" applyAlignment="1">
      <alignment vertical="center"/>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0"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6" borderId="0" xfId="0" applyFill="1"/>
    <xf numFmtId="0" fontId="2" fillId="3" borderId="1"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2" borderId="5" xfId="0" applyFont="1" applyFill="1" applyBorder="1" applyAlignment="1">
      <alignment horizontal="center" vertical="center"/>
    </xf>
    <xf numFmtId="0" fontId="2" fillId="3" borderId="7" xfId="0" applyFont="1" applyFill="1" applyBorder="1" applyAlignment="1">
      <alignment horizontal="center" vertical="center"/>
    </xf>
    <xf numFmtId="0" fontId="4"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6" borderId="0" xfId="0" applyFont="1" applyFill="1" applyAlignment="1">
      <alignment vertical="center"/>
    </xf>
    <xf numFmtId="0" fontId="2" fillId="6" borderId="0" xfId="0" applyFont="1" applyFill="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5" xfId="0" applyFont="1" applyFill="1" applyBorder="1" applyAlignment="1">
      <alignment horizontal="center" vertical="center"/>
    </xf>
    <xf numFmtId="0" fontId="0" fillId="0" borderId="0" xfId="0" applyFill="1"/>
    <xf numFmtId="0" fontId="10" fillId="4" borderId="2" xfId="0" applyFont="1" applyFill="1" applyBorder="1" applyAlignment="1">
      <alignment horizontal="left" vertical="center" readingOrder="1"/>
    </xf>
    <xf numFmtId="0" fontId="0" fillId="0" borderId="0" xfId="0"/>
    <xf numFmtId="0" fontId="2" fillId="2" borderId="1" xfId="0" applyFont="1" applyFill="1" applyBorder="1" applyAlignment="1">
      <alignment horizontal="center" vertical="center"/>
    </xf>
    <xf numFmtId="0" fontId="5" fillId="0" borderId="1" xfId="0" applyFont="1" applyBorder="1" applyAlignment="1">
      <alignment horizontal="center" vertical="center"/>
    </xf>
    <xf numFmtId="0" fontId="10" fillId="4" borderId="1" xfId="0" applyFont="1" applyFill="1" applyBorder="1" applyAlignment="1">
      <alignment horizontal="center" vertical="center" readingOrder="1"/>
    </xf>
    <xf numFmtId="0" fontId="2" fillId="0" borderId="0" xfId="0" applyFont="1" applyBorder="1" applyAlignment="1">
      <alignment horizontal="center" vertical="center"/>
    </xf>
    <xf numFmtId="0" fontId="2" fillId="0" borderId="0" xfId="0" applyFont="1" applyFill="1" applyBorder="1" applyAlignment="1">
      <alignment horizontal="center" vertical="center" wrapText="1"/>
    </xf>
    <xf numFmtId="0" fontId="0" fillId="0" borderId="0" xfId="0" applyBorder="1" applyAlignment="1">
      <alignment vertical="center"/>
    </xf>
    <xf numFmtId="0" fontId="2" fillId="3" borderId="5" xfId="0" applyFont="1" applyFill="1" applyBorder="1" applyAlignment="1">
      <alignment horizontal="center" vertical="center"/>
    </xf>
    <xf numFmtId="0" fontId="16" fillId="9" borderId="16" xfId="0" applyFont="1" applyFill="1" applyBorder="1" applyAlignment="1">
      <alignment horizontal="center" vertical="center"/>
    </xf>
    <xf numFmtId="0" fontId="16" fillId="10" borderId="17" xfId="0" applyFont="1" applyFill="1" applyBorder="1" applyAlignment="1">
      <alignment horizontal="center" vertical="center"/>
    </xf>
    <xf numFmtId="0" fontId="16" fillId="11" borderId="17" xfId="0" applyFont="1"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7" borderId="1" xfId="0" applyFont="1" applyFill="1" applyBorder="1" applyAlignment="1">
      <alignment horizontal="center" vertical="center"/>
    </xf>
    <xf numFmtId="0" fontId="17" fillId="7" borderId="1" xfId="1" applyFill="1" applyBorder="1" applyAlignment="1">
      <alignment horizontal="left" vertical="center" wrapText="1"/>
    </xf>
    <xf numFmtId="0" fontId="2" fillId="7" borderId="1" xfId="0" applyFont="1" applyFill="1" applyBorder="1" applyAlignment="1">
      <alignment horizontal="left" vertical="center" wrapText="1"/>
    </xf>
    <xf numFmtId="0" fontId="17" fillId="3" borderId="1" xfId="1" applyFill="1" applyBorder="1" applyAlignment="1">
      <alignment horizontal="left" vertical="center" wrapText="1"/>
    </xf>
    <xf numFmtId="0" fontId="5" fillId="0" borderId="1" xfId="0" applyFont="1" applyBorder="1" applyAlignment="1">
      <alignment horizontal="center" vertical="center"/>
    </xf>
    <xf numFmtId="0" fontId="0" fillId="0" borderId="7" xfId="0" applyBorder="1" applyAlignment="1">
      <alignment horizontal="left" vertical="center"/>
    </xf>
    <xf numFmtId="0" fontId="0" fillId="0" borderId="6" xfId="0" applyBorder="1" applyAlignment="1">
      <alignment horizontal="left" vertical="center"/>
    </xf>
    <xf numFmtId="0" fontId="2" fillId="0" borderId="0" xfId="0" applyFont="1" applyFill="1" applyBorder="1" applyAlignment="1">
      <alignment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0" fontId="2" fillId="14" borderId="1" xfId="0" applyFont="1" applyFill="1" applyBorder="1" applyAlignment="1">
      <alignment horizontal="center" vertical="center"/>
    </xf>
    <xf numFmtId="0" fontId="0" fillId="14" borderId="1" xfId="0" applyFill="1" applyBorder="1" applyAlignment="1">
      <alignment horizontal="center" vertical="center"/>
    </xf>
    <xf numFmtId="0" fontId="2" fillId="4" borderId="2" xfId="0" applyFont="1" applyFill="1" applyBorder="1" applyAlignment="1">
      <alignment horizontal="center" vertical="center"/>
    </xf>
    <xf numFmtId="0" fontId="0" fillId="0" borderId="3" xfId="0" applyBorder="1" applyAlignment="1">
      <alignment vertical="center"/>
    </xf>
    <xf numFmtId="0" fontId="0" fillId="0" borderId="4" xfId="0" applyBorder="1" applyAlignment="1">
      <alignment vertical="center"/>
    </xf>
    <xf numFmtId="0" fontId="2" fillId="4" borderId="2"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5" borderId="2" xfId="0" applyFont="1" applyFill="1" applyBorder="1" applyAlignment="1">
      <alignment horizontal="center" vertical="center"/>
    </xf>
    <xf numFmtId="0" fontId="0" fillId="0" borderId="4" xfId="0" applyBorder="1" applyAlignment="1">
      <alignment horizontal="center" vertical="center"/>
    </xf>
    <xf numFmtId="0" fontId="2" fillId="5" borderId="1" xfId="0" applyFont="1" applyFill="1" applyBorder="1" applyAlignment="1">
      <alignment horizontal="center" vertical="center"/>
    </xf>
    <xf numFmtId="0" fontId="0" fillId="5" borderId="4" xfId="0" applyFill="1" applyBorder="1" applyAlignment="1">
      <alignment horizontal="center" vertical="center"/>
    </xf>
    <xf numFmtId="0" fontId="2" fillId="5" borderId="1" xfId="0" applyFont="1" applyFill="1" applyBorder="1" applyAlignment="1">
      <alignment horizontal="center" vertical="center" wrapText="1"/>
    </xf>
    <xf numFmtId="0" fontId="0" fillId="0" borderId="3" xfId="0" applyBorder="1" applyAlignment="1">
      <alignment horizontal="center" vertical="center"/>
    </xf>
    <xf numFmtId="0" fontId="7" fillId="5" borderId="5" xfId="0" applyFont="1" applyFill="1" applyBorder="1" applyAlignment="1"/>
    <xf numFmtId="0" fontId="6" fillId="5" borderId="7" xfId="0" applyFont="1" applyFill="1" applyBorder="1" applyAlignment="1"/>
    <xf numFmtId="0" fontId="6" fillId="5" borderId="6" xfId="0" applyFont="1" applyFill="1" applyBorder="1" applyAlignment="1"/>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18" fillId="3" borderId="5" xfId="0" applyFont="1" applyFill="1" applyBorder="1" applyAlignment="1">
      <alignment horizontal="center" vertical="center"/>
    </xf>
    <xf numFmtId="0" fontId="18" fillId="3" borderId="7" xfId="0" applyFont="1" applyFill="1" applyBorder="1" applyAlignment="1">
      <alignment horizontal="center" vertical="center"/>
    </xf>
    <xf numFmtId="0" fontId="18"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4" borderId="1" xfId="0" applyFont="1" applyFill="1" applyBorder="1" applyAlignment="1">
      <alignment horizontal="center" vertical="center"/>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6" fillId="5" borderId="5" xfId="0" applyFont="1" applyFill="1" applyBorder="1" applyAlignment="1"/>
    <xf numFmtId="0" fontId="0" fillId="0" borderId="6" xfId="0" applyBorder="1" applyAlignment="1">
      <alignment horizontal="center" vertical="center"/>
    </xf>
    <xf numFmtId="0" fontId="2" fillId="2" borderId="5" xfId="0" applyFont="1" applyFill="1" applyBorder="1" applyAlignment="1">
      <alignment horizontal="center" vertical="center"/>
    </xf>
    <xf numFmtId="0" fontId="5" fillId="0" borderId="2" xfId="0" applyFont="1" applyBorder="1" applyAlignment="1">
      <alignment horizontal="center" vertical="center"/>
    </xf>
    <xf numFmtId="0" fontId="8" fillId="7" borderId="5" xfId="0" applyFont="1" applyFill="1" applyBorder="1" applyAlignment="1">
      <alignment horizontal="center" vertical="center"/>
    </xf>
    <xf numFmtId="0" fontId="9" fillId="7" borderId="7" xfId="0" applyFont="1" applyFill="1" applyBorder="1" applyAlignment="1">
      <alignment horizontal="center" vertical="center"/>
    </xf>
    <xf numFmtId="0" fontId="9" fillId="7" borderId="6"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6" xfId="0" applyFont="1" applyFill="1" applyBorder="1" applyAlignment="1">
      <alignment horizontal="center" vertical="center"/>
    </xf>
    <xf numFmtId="0" fontId="10" fillId="4" borderId="5" xfId="0" applyFont="1" applyFill="1" applyBorder="1" applyAlignment="1"/>
    <xf numFmtId="0" fontId="10" fillId="4" borderId="7" xfId="0" applyFont="1" applyFill="1" applyBorder="1" applyAlignment="1"/>
    <xf numFmtId="0" fontId="10" fillId="4" borderId="6" xfId="0" applyFont="1" applyFill="1" applyBorder="1" applyAlignment="1"/>
    <xf numFmtId="0" fontId="10" fillId="4" borderId="2" xfId="0" applyFont="1" applyFill="1" applyBorder="1" applyAlignment="1">
      <alignment horizontal="center" vertical="center" readingOrder="1"/>
    </xf>
    <xf numFmtId="0" fontId="0" fillId="0" borderId="3" xfId="0" applyBorder="1" applyAlignment="1">
      <alignment horizontal="center" vertical="center" readingOrder="1"/>
    </xf>
    <xf numFmtId="0" fontId="0" fillId="0" borderId="4" xfId="0" applyBorder="1" applyAlignment="1">
      <alignment horizontal="center" vertical="center" readingOrder="1"/>
    </xf>
    <xf numFmtId="0" fontId="10" fillId="4" borderId="2" xfId="0" applyFont="1" applyFill="1" applyBorder="1" applyAlignment="1">
      <alignment horizontal="left" vertical="center" readingOrder="1"/>
    </xf>
    <xf numFmtId="0" fontId="10" fillId="4" borderId="3" xfId="0" applyFont="1" applyFill="1" applyBorder="1" applyAlignment="1">
      <alignment horizontal="left" vertical="center" readingOrder="1"/>
    </xf>
    <xf numFmtId="0" fontId="10" fillId="4" borderId="4" xfId="0" applyFont="1" applyFill="1" applyBorder="1" applyAlignment="1">
      <alignment horizontal="left" vertical="center" readingOrder="1"/>
    </xf>
    <xf numFmtId="0" fontId="10" fillId="4" borderId="8" xfId="0" applyFont="1" applyFill="1" applyBorder="1" applyAlignment="1">
      <alignment vertical="top" wrapText="1"/>
    </xf>
    <xf numFmtId="0" fontId="10" fillId="4" borderId="9" xfId="0" applyFont="1" applyFill="1" applyBorder="1" applyAlignment="1">
      <alignment vertical="top" wrapText="1"/>
    </xf>
    <xf numFmtId="0" fontId="10" fillId="4" borderId="10" xfId="0" applyFont="1" applyFill="1" applyBorder="1" applyAlignment="1">
      <alignment vertical="top" wrapText="1"/>
    </xf>
    <xf numFmtId="0" fontId="10" fillId="4" borderId="11" xfId="0" applyFont="1" applyFill="1" applyBorder="1" applyAlignment="1">
      <alignment vertical="top" wrapText="1"/>
    </xf>
    <xf numFmtId="0" fontId="10" fillId="4" borderId="0" xfId="0" applyFont="1" applyFill="1" applyBorder="1" applyAlignment="1">
      <alignment vertical="top" wrapText="1"/>
    </xf>
    <xf numFmtId="0" fontId="10" fillId="4" borderId="12" xfId="0" applyFont="1" applyFill="1" applyBorder="1" applyAlignment="1">
      <alignment vertical="top" wrapText="1"/>
    </xf>
    <xf numFmtId="0" fontId="10" fillId="4" borderId="13" xfId="0" applyFont="1" applyFill="1" applyBorder="1" applyAlignment="1">
      <alignment vertical="top" wrapText="1"/>
    </xf>
    <xf numFmtId="0" fontId="10" fillId="4" borderId="14" xfId="0" applyFont="1" applyFill="1" applyBorder="1" applyAlignment="1">
      <alignment vertical="top" wrapText="1"/>
    </xf>
    <xf numFmtId="0" fontId="10" fillId="4" borderId="15" xfId="0" applyFont="1" applyFill="1" applyBorder="1" applyAlignment="1">
      <alignment vertical="top" wrapText="1"/>
    </xf>
    <xf numFmtId="0" fontId="8" fillId="5" borderId="1" xfId="0" applyFont="1" applyFill="1" applyBorder="1" applyAlignment="1">
      <alignment horizontal="center" vertical="center"/>
    </xf>
    <xf numFmtId="0" fontId="5" fillId="0" borderId="1" xfId="0" applyFont="1" applyBorder="1" applyAlignment="1">
      <alignment horizontal="center" vertical="center" wrapText="1"/>
    </xf>
    <xf numFmtId="0" fontId="14" fillId="6" borderId="1" xfId="0" applyFont="1" applyFill="1" applyBorder="1" applyAlignment="1">
      <alignment horizontal="left" vertical="center" wrapText="1"/>
    </xf>
    <xf numFmtId="0" fontId="15" fillId="6" borderId="1" xfId="0" applyFont="1" applyFill="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xf numFmtId="0" fontId="12" fillId="6"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0" borderId="1" xfId="0" applyBorder="1" applyAlignment="1"/>
    <xf numFmtId="0" fontId="5" fillId="8" borderId="1" xfId="0" applyFont="1" applyFill="1" applyBorder="1" applyAlignment="1">
      <alignment horizontal="center" vertical="center"/>
    </xf>
    <xf numFmtId="0" fontId="0" fillId="8" borderId="1" xfId="0" applyFill="1" applyBorder="1" applyAlignment="1"/>
    <xf numFmtId="0" fontId="14" fillId="6" borderId="8" xfId="0" applyFont="1" applyFill="1" applyBorder="1" applyAlignment="1">
      <alignment horizontal="left" vertical="center" wrapText="1"/>
    </xf>
    <xf numFmtId="0" fontId="14" fillId="6" borderId="9"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4" fillId="6" borderId="11" xfId="0" applyFont="1" applyFill="1" applyBorder="1" applyAlignment="1">
      <alignment horizontal="left" vertical="center" wrapText="1"/>
    </xf>
    <xf numFmtId="0" fontId="14" fillId="6" borderId="0" xfId="0" applyFont="1" applyFill="1" applyBorder="1" applyAlignment="1">
      <alignment horizontal="left" vertical="center" wrapText="1"/>
    </xf>
    <xf numFmtId="0" fontId="14" fillId="6" borderId="12" xfId="0" applyFont="1" applyFill="1" applyBorder="1" applyAlignment="1">
      <alignment horizontal="left" vertical="center" wrapText="1"/>
    </xf>
    <xf numFmtId="0" fontId="14" fillId="6" borderId="13" xfId="0" applyFont="1" applyFill="1" applyBorder="1" applyAlignment="1">
      <alignment horizontal="left" vertical="center" wrapText="1"/>
    </xf>
    <xf numFmtId="0" fontId="14" fillId="6" borderId="14" xfId="0" applyFont="1" applyFill="1" applyBorder="1" applyAlignment="1">
      <alignment horizontal="left" vertical="center" wrapText="1"/>
    </xf>
    <xf numFmtId="0" fontId="14" fillId="6" borderId="15" xfId="0" applyFont="1" applyFill="1" applyBorder="1" applyAlignment="1">
      <alignment horizontal="left" vertical="center" wrapText="1"/>
    </xf>
    <xf numFmtId="0" fontId="0" fillId="8" borderId="1" xfId="0" applyFont="1" applyFill="1" applyBorder="1" applyAlignment="1"/>
    <xf numFmtId="0" fontId="13" fillId="8" borderId="1" xfId="0" applyFont="1" applyFill="1" applyBorder="1" applyAlignment="1">
      <alignment horizontal="center" vertical="center"/>
    </xf>
    <xf numFmtId="0" fontId="2" fillId="14" borderId="1" xfId="0" applyFont="1" applyFill="1" applyBorder="1" applyAlignment="1">
      <alignment horizontal="center" vertical="center"/>
    </xf>
    <xf numFmtId="0" fontId="0" fillId="14" borderId="1" xfId="0" applyFill="1" applyBorder="1" applyAlignment="1">
      <alignment horizontal="center" vertical="center"/>
    </xf>
    <xf numFmtId="0" fontId="2" fillId="2" borderId="1" xfId="0" applyFont="1" applyFill="1" applyBorder="1" applyAlignment="1">
      <alignment horizontal="center" vertical="center"/>
    </xf>
    <xf numFmtId="0" fontId="19" fillId="3"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2" xfId="0" applyBorder="1" applyAlignment="1">
      <alignment horizontal="center" vertical="center"/>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7" fillId="5" borderId="5" xfId="0" applyFont="1" applyFill="1" applyBorder="1" applyAlignment="1">
      <alignment wrapText="1"/>
    </xf>
  </cellXfs>
  <cellStyles count="2">
    <cellStyle name="一般" xfId="0" builtinId="0"/>
    <cellStyle name="超連結" xfId="1"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123825</xdr:rowOff>
    </xdr:from>
    <xdr:to>
      <xdr:col>9</xdr:col>
      <xdr:colOff>28575</xdr:colOff>
      <xdr:row>30</xdr:row>
      <xdr:rowOff>76200</xdr:rowOff>
    </xdr:to>
    <xdr:pic>
      <xdr:nvPicPr>
        <xdr:cNvPr id="18" name="圖片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76325"/>
          <a:ext cx="8801100" cy="471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742950</xdr:colOff>
      <xdr:row>1</xdr:row>
      <xdr:rowOff>19050</xdr:rowOff>
    </xdr:from>
    <xdr:to>
      <xdr:col>10</xdr:col>
      <xdr:colOff>188912</xdr:colOff>
      <xdr:row>7</xdr:row>
      <xdr:rowOff>19050</xdr:rowOff>
    </xdr:to>
    <xdr:sp macro="" textlink="">
      <xdr:nvSpPr>
        <xdr:cNvPr id="19" name="標題 1"/>
        <xdr:cNvSpPr>
          <a:spLocks noGrp="1"/>
        </xdr:cNvSpPr>
      </xdr:nvSpPr>
      <xdr:spPr bwMode="auto">
        <a:xfrm>
          <a:off x="1333500" y="209550"/>
          <a:ext cx="8218487"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ctr" anchorCtr="0" compatLnSpc="1">
          <a:prstTxWarp prst="textNoShape">
            <a:avLst/>
          </a:prstTxWarp>
        </a:bodyPr>
        <a:lstStyle>
          <a:lvl1pPr algn="l" rtl="0" eaLnBrk="0" fontAlgn="base" hangingPunct="0">
            <a:spcBef>
              <a:spcPct val="0"/>
            </a:spcBef>
            <a:spcAft>
              <a:spcPct val="0"/>
            </a:spcAft>
            <a:defRPr kumimoji="1" sz="3600" u="sng">
              <a:solidFill>
                <a:srgbClr val="FF0000"/>
              </a:solidFill>
              <a:latin typeface="標楷體" panose="03000509000000000000" pitchFamily="65" charset="-120"/>
              <a:ea typeface="標楷體" panose="03000509000000000000" pitchFamily="65" charset="-120"/>
              <a:cs typeface="+mj-cs"/>
            </a:defRPr>
          </a:lvl1pPr>
          <a:lvl2pPr algn="ctr" rtl="0" eaLnBrk="0" fontAlgn="base" hangingPunct="0">
            <a:spcBef>
              <a:spcPct val="0"/>
            </a:spcBef>
            <a:spcAft>
              <a:spcPct val="0"/>
            </a:spcAft>
            <a:defRPr kumimoji="1" sz="4400">
              <a:solidFill>
                <a:schemeClr val="tx2"/>
              </a:solidFill>
              <a:latin typeface="Arial" charset="0"/>
              <a:ea typeface="新細明體" pitchFamily="18" charset="-120"/>
            </a:defRPr>
          </a:lvl2pPr>
          <a:lvl3pPr algn="ctr" rtl="0" eaLnBrk="0" fontAlgn="base" hangingPunct="0">
            <a:spcBef>
              <a:spcPct val="0"/>
            </a:spcBef>
            <a:spcAft>
              <a:spcPct val="0"/>
            </a:spcAft>
            <a:defRPr kumimoji="1" sz="4400">
              <a:solidFill>
                <a:schemeClr val="tx2"/>
              </a:solidFill>
              <a:latin typeface="Arial" charset="0"/>
              <a:ea typeface="新細明體" pitchFamily="18" charset="-120"/>
            </a:defRPr>
          </a:lvl3pPr>
          <a:lvl4pPr algn="ctr" rtl="0" eaLnBrk="0" fontAlgn="base" hangingPunct="0">
            <a:spcBef>
              <a:spcPct val="0"/>
            </a:spcBef>
            <a:spcAft>
              <a:spcPct val="0"/>
            </a:spcAft>
            <a:defRPr kumimoji="1" sz="4400">
              <a:solidFill>
                <a:schemeClr val="tx2"/>
              </a:solidFill>
              <a:latin typeface="Arial" charset="0"/>
              <a:ea typeface="新細明體" pitchFamily="18" charset="-120"/>
            </a:defRPr>
          </a:lvl4pPr>
          <a:lvl5pPr algn="ctr" rtl="0" eaLnBrk="0" fontAlgn="base" hangingPunct="0">
            <a:spcBef>
              <a:spcPct val="0"/>
            </a:spcBef>
            <a:spcAft>
              <a:spcPct val="0"/>
            </a:spcAft>
            <a:defRPr kumimoji="1" sz="4400">
              <a:solidFill>
                <a:schemeClr val="tx2"/>
              </a:solidFill>
              <a:latin typeface="Arial" charset="0"/>
              <a:ea typeface="新細明體" pitchFamily="18" charset="-120"/>
            </a:defRPr>
          </a:lvl5pPr>
          <a:lvl6pPr marL="457200" algn="ctr" rtl="0" fontAlgn="base">
            <a:spcBef>
              <a:spcPct val="0"/>
            </a:spcBef>
            <a:spcAft>
              <a:spcPct val="0"/>
            </a:spcAft>
            <a:defRPr kumimoji="1" sz="4400">
              <a:solidFill>
                <a:schemeClr val="tx2"/>
              </a:solidFill>
              <a:latin typeface="Arial" charset="0"/>
              <a:ea typeface="新細明體" pitchFamily="18" charset="-120"/>
            </a:defRPr>
          </a:lvl6pPr>
          <a:lvl7pPr marL="914400" algn="ctr" rtl="0" fontAlgn="base">
            <a:spcBef>
              <a:spcPct val="0"/>
            </a:spcBef>
            <a:spcAft>
              <a:spcPct val="0"/>
            </a:spcAft>
            <a:defRPr kumimoji="1" sz="4400">
              <a:solidFill>
                <a:schemeClr val="tx2"/>
              </a:solidFill>
              <a:latin typeface="Arial" charset="0"/>
              <a:ea typeface="新細明體" pitchFamily="18" charset="-120"/>
            </a:defRPr>
          </a:lvl7pPr>
          <a:lvl8pPr marL="1371600" algn="ctr" rtl="0" fontAlgn="base">
            <a:spcBef>
              <a:spcPct val="0"/>
            </a:spcBef>
            <a:spcAft>
              <a:spcPct val="0"/>
            </a:spcAft>
            <a:defRPr kumimoji="1" sz="4400">
              <a:solidFill>
                <a:schemeClr val="tx2"/>
              </a:solidFill>
              <a:latin typeface="Arial" charset="0"/>
              <a:ea typeface="新細明體" pitchFamily="18" charset="-120"/>
            </a:defRPr>
          </a:lvl8pPr>
          <a:lvl9pPr marL="1828800" algn="ctr" rtl="0" fontAlgn="base">
            <a:spcBef>
              <a:spcPct val="0"/>
            </a:spcBef>
            <a:spcAft>
              <a:spcPct val="0"/>
            </a:spcAft>
            <a:defRPr kumimoji="1" sz="4400">
              <a:solidFill>
                <a:schemeClr val="tx2"/>
              </a:solidFill>
              <a:latin typeface="Arial" charset="0"/>
              <a:ea typeface="新細明體" pitchFamily="18" charset="-120"/>
            </a:defRPr>
          </a:lvl9pPr>
        </a:lstStyle>
        <a:p>
          <a:r>
            <a:rPr lang="en-US" altLang="zh-TW">
              <a:latin typeface="Arial" panose="020B0604020202020204" pitchFamily="34" charset="0"/>
              <a:cs typeface="Arial" panose="020B0604020202020204" pitchFamily="34" charset="0"/>
            </a:rPr>
            <a:t>RT584z Calibration Flow</a:t>
          </a:r>
          <a:endParaRPr lang="zh-TW" altLang="en-US">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140901</xdr:colOff>
      <xdr:row>5</xdr:row>
      <xdr:rowOff>7328</xdr:rowOff>
    </xdr:from>
    <xdr:to>
      <xdr:col>7</xdr:col>
      <xdr:colOff>48358</xdr:colOff>
      <xdr:row>26</xdr:row>
      <xdr:rowOff>109905</xdr:rowOff>
    </xdr:to>
    <xdr:grpSp>
      <xdr:nvGrpSpPr>
        <xdr:cNvPr id="3" name="群組 2"/>
        <xdr:cNvGrpSpPr/>
      </xdr:nvGrpSpPr>
      <xdr:grpSpPr>
        <a:xfrm>
          <a:off x="140901" y="996463"/>
          <a:ext cx="4164399" cy="4256942"/>
          <a:chOff x="276596" y="1273987"/>
          <a:chExt cx="3540731" cy="3574248"/>
        </a:xfrm>
      </xdr:grpSpPr>
      <xdr:sp macro="" textlink="">
        <xdr:nvSpPr>
          <xdr:cNvPr id="10" name="矩形 9"/>
          <xdr:cNvSpPr/>
        </xdr:nvSpPr>
        <xdr:spPr bwMode="auto">
          <a:xfrm>
            <a:off x="1121264" y="1364377"/>
            <a:ext cx="2692663" cy="422583"/>
          </a:xfrm>
          <a:prstGeom prst="rect">
            <a:avLst/>
          </a:prstGeom>
          <a:solidFill>
            <a:srgbClr val="00B05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1400">
                <a:effectLst/>
                <a:latin typeface="Arial" charset="0"/>
              </a:rPr>
              <a:t>Bootloader (32K)</a:t>
            </a:r>
            <a:endParaRPr kumimoji="1" lang="zh-TW" altLang="en-US" sz="1400" b="0" i="0" u="none" strike="noStrike" cap="none" normalizeH="0" baseline="0">
              <a:ln>
                <a:noFill/>
              </a:ln>
              <a:solidFill>
                <a:schemeClr val="tx1"/>
              </a:solidFill>
              <a:effectLst/>
              <a:latin typeface="Arial" charset="0"/>
            </a:endParaRPr>
          </a:p>
        </xdr:txBody>
      </xdr:sp>
      <xdr:sp macro="" textlink="">
        <xdr:nvSpPr>
          <xdr:cNvPr id="11" name="矩形 10"/>
          <xdr:cNvSpPr/>
        </xdr:nvSpPr>
        <xdr:spPr bwMode="auto">
          <a:xfrm>
            <a:off x="1113937" y="1794286"/>
            <a:ext cx="2692663" cy="2521272"/>
          </a:xfrm>
          <a:prstGeom prst="rect">
            <a:avLst/>
          </a:prstGeom>
          <a:solidFill>
            <a:schemeClr val="accent2">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000">
                <a:effectLst/>
                <a:latin typeface="Arial" charset="0"/>
              </a:rPr>
              <a:t>Application (988K)</a:t>
            </a:r>
            <a:endParaRPr kumimoji="1" lang="zh-TW" altLang="en-US" sz="2000" b="0" i="0" u="none" strike="noStrike" cap="none" normalizeH="0" baseline="0">
              <a:ln>
                <a:noFill/>
              </a:ln>
              <a:solidFill>
                <a:schemeClr val="tx1"/>
              </a:solidFill>
              <a:effectLst/>
              <a:latin typeface="Arial" charset="0"/>
            </a:endParaRPr>
          </a:p>
        </xdr:txBody>
      </xdr:sp>
      <xdr:sp macro="" textlink="">
        <xdr:nvSpPr>
          <xdr:cNvPr id="21" name="文字方塊 6"/>
          <xdr:cNvSpPr txBox="1"/>
        </xdr:nvSpPr>
        <xdr:spPr>
          <a:xfrm>
            <a:off x="334518" y="127398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0x10000000</a:t>
            </a:r>
            <a:endParaRPr lang="zh-TW" altLang="en-US" sz="1000">
              <a:latin typeface="Arial" panose="020B0604020202020204" pitchFamily="34" charset="0"/>
              <a:cs typeface="Arial" panose="020B0604020202020204" pitchFamily="34" charset="0"/>
            </a:endParaRPr>
          </a:p>
        </xdr:txBody>
      </xdr:sp>
      <xdr:sp macro="" textlink="">
        <xdr:nvSpPr>
          <xdr:cNvPr id="22" name="文字方塊 7"/>
          <xdr:cNvSpPr txBox="1"/>
        </xdr:nvSpPr>
        <xdr:spPr>
          <a:xfrm>
            <a:off x="306307" y="1689956"/>
            <a:ext cx="1054868" cy="21384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0x10008000</a:t>
            </a:r>
            <a:endParaRPr lang="zh-TW" altLang="en-US" sz="1000">
              <a:latin typeface="Arial" panose="020B0604020202020204" pitchFamily="34" charset="0"/>
              <a:cs typeface="Arial" panose="020B0604020202020204" pitchFamily="34" charset="0"/>
            </a:endParaRPr>
          </a:p>
        </xdr:txBody>
      </xdr:sp>
      <xdr:sp macro="" textlink="">
        <xdr:nvSpPr>
          <xdr:cNvPr id="23" name="文字方塊 9"/>
          <xdr:cNvSpPr txBox="1"/>
        </xdr:nvSpPr>
        <xdr:spPr>
          <a:xfrm>
            <a:off x="276596" y="4599177"/>
            <a:ext cx="925914" cy="24905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0x100FFFFF</a:t>
            </a:r>
            <a:endParaRPr lang="zh-TW" altLang="en-US" sz="1000">
              <a:latin typeface="Arial" panose="020B0604020202020204" pitchFamily="34" charset="0"/>
              <a:cs typeface="Arial" panose="020B0604020202020204" pitchFamily="34" charset="0"/>
            </a:endParaRPr>
          </a:p>
        </xdr:txBody>
      </xdr:sp>
      <xdr:sp macro="" textlink="">
        <xdr:nvSpPr>
          <xdr:cNvPr id="26" name="文字方塊 9"/>
          <xdr:cNvSpPr txBox="1"/>
        </xdr:nvSpPr>
        <xdr:spPr>
          <a:xfrm>
            <a:off x="282112" y="4208861"/>
            <a:ext cx="1050680" cy="28575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0x100FF000</a:t>
            </a:r>
            <a:endParaRPr lang="zh-TW" altLang="en-US" sz="1000">
              <a:latin typeface="Arial" panose="020B0604020202020204" pitchFamily="34" charset="0"/>
              <a:cs typeface="Arial" panose="020B0604020202020204" pitchFamily="34" charset="0"/>
            </a:endParaRPr>
          </a:p>
        </xdr:txBody>
      </xdr:sp>
      <xdr:sp macro="" textlink="">
        <xdr:nvSpPr>
          <xdr:cNvPr id="12" name="矩形 11"/>
          <xdr:cNvSpPr/>
        </xdr:nvSpPr>
        <xdr:spPr bwMode="auto">
          <a:xfrm>
            <a:off x="1108076" y="4306066"/>
            <a:ext cx="2709251" cy="422583"/>
          </a:xfrm>
          <a:prstGeom prst="rect">
            <a:avLst/>
          </a:prstGeom>
          <a:solidFill>
            <a:srgbClr val="FFC00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fontAlgn="auto" latinLnBrk="0" hangingPunct="1"/>
            <a:r>
              <a:rPr lang="en-US" altLang="zh-TW" sz="1800" kern="1200">
                <a:solidFill>
                  <a:schemeClr val="tx1"/>
                </a:solidFill>
                <a:effectLst/>
                <a:latin typeface="+mn-lt"/>
                <a:ea typeface="+mn-ea"/>
                <a:cs typeface="+mn-cs"/>
              </a:rPr>
              <a:t>Calibration data(4K)</a:t>
            </a:r>
            <a:endParaRPr lang="zh-TW" altLang="zh-TW">
              <a:effectLst/>
            </a:endParaRPr>
          </a:p>
        </xdr:txBody>
      </xdr:sp>
    </xdr:grpSp>
    <xdr:clientData/>
  </xdr:twoCellAnchor>
  <xdr:twoCellAnchor>
    <xdr:from>
      <xdr:col>1</xdr:col>
      <xdr:colOff>227135</xdr:colOff>
      <xdr:row>1</xdr:row>
      <xdr:rowOff>36634</xdr:rowOff>
    </xdr:from>
    <xdr:to>
      <xdr:col>6</xdr:col>
      <xdr:colOff>534866</xdr:colOff>
      <xdr:row>6</xdr:row>
      <xdr:rowOff>62202</xdr:rowOff>
    </xdr:to>
    <xdr:sp macro="" textlink="">
      <xdr:nvSpPr>
        <xdr:cNvPr id="17" name="矩形 16"/>
        <xdr:cNvSpPr/>
      </xdr:nvSpPr>
      <xdr:spPr bwMode="auto">
        <a:xfrm>
          <a:off x="835270" y="234461"/>
          <a:ext cx="3348404" cy="1014703"/>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000" b="1" i="0" u="none" strike="noStrike" cap="none" normalizeH="0" baseline="0">
              <a:ln>
                <a:noFill/>
              </a:ln>
              <a:solidFill>
                <a:schemeClr val="tx1"/>
              </a:solidFill>
              <a:effectLst/>
              <a:latin typeface="+mn-lt"/>
            </a:rPr>
            <a:t>RT584z programe flash layout</a:t>
          </a:r>
          <a:r>
            <a:rPr kumimoji="1" lang="zh-TW" altLang="en-US" sz="2000" b="1" i="0" u="none" strike="noStrike" cap="none" normalizeH="0" baseline="0">
              <a:ln>
                <a:noFill/>
              </a:ln>
              <a:solidFill>
                <a:schemeClr val="tx1"/>
              </a:solidFill>
              <a:effectLst/>
              <a:latin typeface="+mn-lt"/>
            </a:rPr>
            <a:t> </a:t>
          </a:r>
          <a:r>
            <a:rPr kumimoji="1" lang="en-US" altLang="zh-TW" sz="2000" b="1" i="0" u="none" strike="noStrike" cap="none" normalizeH="0" baseline="0">
              <a:ln>
                <a:noFill/>
              </a:ln>
              <a:solidFill>
                <a:schemeClr val="tx1"/>
              </a:solidFill>
              <a:effectLst/>
              <a:latin typeface="+mn-lt"/>
            </a:rPr>
            <a:t>(secure mode)</a:t>
          </a:r>
          <a:endParaRPr kumimoji="1" lang="zh-TW" altLang="en-US" sz="2000" b="1" i="0" u="none" strike="noStrike" cap="none" normalizeH="0" baseline="0">
            <a:ln>
              <a:noFill/>
            </a:ln>
            <a:solidFill>
              <a:schemeClr val="tx1"/>
            </a:solidFill>
            <a:effectLst/>
            <a:latin typeface="+mn-lt"/>
          </a:endParaRPr>
        </a:p>
      </xdr:txBody>
    </xdr:sp>
    <xdr:clientData/>
  </xdr:twoCellAnchor>
  <xdr:twoCellAnchor>
    <xdr:from>
      <xdr:col>7</xdr:col>
      <xdr:colOff>492371</xdr:colOff>
      <xdr:row>6</xdr:row>
      <xdr:rowOff>71805</xdr:rowOff>
    </xdr:from>
    <xdr:to>
      <xdr:col>19</xdr:col>
      <xdr:colOff>263769</xdr:colOff>
      <xdr:row>20</xdr:row>
      <xdr:rowOff>102577</xdr:rowOff>
    </xdr:to>
    <xdr:grpSp>
      <xdr:nvGrpSpPr>
        <xdr:cNvPr id="2" name="群組 1"/>
        <xdr:cNvGrpSpPr/>
      </xdr:nvGrpSpPr>
      <xdr:grpSpPr>
        <a:xfrm>
          <a:off x="4749313" y="1258767"/>
          <a:ext cx="7069014" cy="2800348"/>
          <a:chOff x="4815254" y="4665785"/>
          <a:chExt cx="6370027" cy="2368059"/>
        </a:xfrm>
      </xdr:grpSpPr>
      <xdr:sp macro="" textlink="">
        <xdr:nvSpPr>
          <xdr:cNvPr id="14" name="矩形 13"/>
          <xdr:cNvSpPr/>
        </xdr:nvSpPr>
        <xdr:spPr bwMode="auto">
          <a:xfrm>
            <a:off x="5672750" y="4769929"/>
            <a:ext cx="4035423" cy="659321"/>
          </a:xfrm>
          <a:prstGeom prst="rect">
            <a:avLst/>
          </a:prstGeom>
          <a:solidFill>
            <a:schemeClr val="accent1">
              <a:lumMod val="60000"/>
              <a:lumOff val="4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1400">
                <a:effectLst/>
                <a:latin typeface="Arial" charset="0"/>
              </a:rPr>
              <a:t>FT calibration</a:t>
            </a:r>
            <a:r>
              <a:rPr lang="en-US" altLang="zh-TW" sz="1400" baseline="0">
                <a:effectLst/>
                <a:latin typeface="Arial" charset="0"/>
              </a:rPr>
              <a:t> data</a:t>
            </a:r>
            <a:endParaRPr kumimoji="1" lang="zh-TW" altLang="en-US" sz="1400" b="0" i="0" u="none" strike="noStrike" cap="none" normalizeH="0" baseline="0">
              <a:ln>
                <a:noFill/>
              </a:ln>
              <a:solidFill>
                <a:schemeClr val="tx1"/>
              </a:solidFill>
              <a:effectLst/>
              <a:latin typeface="Arial" charset="0"/>
            </a:endParaRPr>
          </a:p>
        </xdr:txBody>
      </xdr:sp>
      <xdr:sp macro="" textlink="">
        <xdr:nvSpPr>
          <xdr:cNvPr id="18" name="矩形 17"/>
          <xdr:cNvSpPr/>
        </xdr:nvSpPr>
        <xdr:spPr bwMode="auto">
          <a:xfrm>
            <a:off x="5693266" y="5515810"/>
            <a:ext cx="4035423" cy="659321"/>
          </a:xfrm>
          <a:prstGeom prst="rect">
            <a:avLst/>
          </a:prstGeom>
          <a:solidFill>
            <a:schemeClr val="accent2">
              <a:lumMod val="40000"/>
              <a:lumOff val="6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400" b="0" i="0" u="none" strike="noStrike" cap="none" normalizeH="0" baseline="0">
                <a:ln>
                  <a:noFill/>
                </a:ln>
                <a:solidFill>
                  <a:schemeClr val="tx1"/>
                </a:solidFill>
                <a:effectLst/>
                <a:latin typeface="Arial" charset="0"/>
              </a:rPr>
              <a:t>System reserved</a:t>
            </a:r>
            <a:endParaRPr kumimoji="1" lang="zh-TW" altLang="en-US" sz="1400" b="0" i="0" u="none" strike="noStrike" cap="none" normalizeH="0" baseline="0">
              <a:ln>
                <a:noFill/>
              </a:ln>
              <a:solidFill>
                <a:schemeClr val="tx1"/>
              </a:solidFill>
              <a:effectLst/>
              <a:latin typeface="Arial" charset="0"/>
            </a:endParaRPr>
          </a:p>
        </xdr:txBody>
      </xdr:sp>
      <xdr:sp macro="" textlink="">
        <xdr:nvSpPr>
          <xdr:cNvPr id="19" name="矩形 18"/>
          <xdr:cNvSpPr/>
        </xdr:nvSpPr>
        <xdr:spPr bwMode="auto">
          <a:xfrm>
            <a:off x="5706454" y="6283672"/>
            <a:ext cx="4035423" cy="659321"/>
          </a:xfrm>
          <a:prstGeom prst="rect">
            <a:avLst/>
          </a:prstGeom>
          <a:solidFill>
            <a:schemeClr val="accent4">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400" b="0" i="0" u="none" strike="noStrike" cap="none" normalizeH="0" baseline="0">
                <a:ln>
                  <a:noFill/>
                </a:ln>
                <a:solidFill>
                  <a:schemeClr val="tx1"/>
                </a:solidFill>
                <a:effectLst/>
                <a:latin typeface="Arial" charset="0"/>
              </a:rPr>
              <a:t>User defined</a:t>
            </a:r>
            <a:endParaRPr kumimoji="1" lang="zh-TW" altLang="en-US" sz="1400" b="0" i="0" u="none" strike="noStrike" cap="none" normalizeH="0" baseline="0">
              <a:ln>
                <a:noFill/>
              </a:ln>
              <a:solidFill>
                <a:schemeClr val="tx1"/>
              </a:solidFill>
              <a:effectLst/>
              <a:latin typeface="Arial" charset="0"/>
            </a:endParaRPr>
          </a:p>
        </xdr:txBody>
      </xdr:sp>
      <xdr:sp macro="" textlink="">
        <xdr:nvSpPr>
          <xdr:cNvPr id="20" name="文字方塊 6"/>
          <xdr:cNvSpPr txBox="1"/>
        </xdr:nvSpPr>
        <xdr:spPr>
          <a:xfrm>
            <a:off x="4815254" y="4665785"/>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0x00000000</a:t>
            </a:r>
            <a:endParaRPr lang="zh-TW" altLang="en-US" sz="1000">
              <a:latin typeface="Arial" panose="020B0604020202020204" pitchFamily="34" charset="0"/>
              <a:cs typeface="Arial" panose="020B0604020202020204" pitchFamily="34" charset="0"/>
            </a:endParaRPr>
          </a:p>
        </xdr:txBody>
      </xdr:sp>
      <xdr:sp macro="" textlink="">
        <xdr:nvSpPr>
          <xdr:cNvPr id="24" name="文字方塊 6"/>
          <xdr:cNvSpPr txBox="1"/>
        </xdr:nvSpPr>
        <xdr:spPr>
          <a:xfrm>
            <a:off x="4835770" y="5287108"/>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0x000003FF</a:t>
            </a:r>
            <a:endParaRPr lang="zh-TW" altLang="en-US" sz="1000">
              <a:latin typeface="Arial" panose="020B0604020202020204" pitchFamily="34" charset="0"/>
              <a:cs typeface="Arial" panose="020B0604020202020204" pitchFamily="34" charset="0"/>
            </a:endParaRPr>
          </a:p>
        </xdr:txBody>
      </xdr:sp>
      <xdr:sp macro="" textlink="">
        <xdr:nvSpPr>
          <xdr:cNvPr id="27" name="文字方塊 6"/>
          <xdr:cNvSpPr txBox="1"/>
        </xdr:nvSpPr>
        <xdr:spPr>
          <a:xfrm>
            <a:off x="4834305" y="543950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0x00001000</a:t>
            </a:r>
            <a:endParaRPr lang="zh-TW" altLang="en-US" sz="1000">
              <a:latin typeface="Arial" panose="020B0604020202020204" pitchFamily="34" charset="0"/>
              <a:cs typeface="Arial" panose="020B0604020202020204" pitchFamily="34" charset="0"/>
            </a:endParaRPr>
          </a:p>
        </xdr:txBody>
      </xdr:sp>
      <xdr:sp macro="" textlink="">
        <xdr:nvSpPr>
          <xdr:cNvPr id="28" name="文字方塊 6"/>
          <xdr:cNvSpPr txBox="1"/>
        </xdr:nvSpPr>
        <xdr:spPr>
          <a:xfrm>
            <a:off x="4847493" y="6046176"/>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0x000000FF</a:t>
            </a:r>
            <a:endParaRPr lang="zh-TW" altLang="en-US" sz="1000">
              <a:latin typeface="Arial" panose="020B0604020202020204" pitchFamily="34" charset="0"/>
              <a:cs typeface="Arial" panose="020B0604020202020204" pitchFamily="34" charset="0"/>
            </a:endParaRPr>
          </a:p>
        </xdr:txBody>
      </xdr:sp>
      <xdr:sp macro="" textlink="">
        <xdr:nvSpPr>
          <xdr:cNvPr id="29" name="文字方塊 6"/>
          <xdr:cNvSpPr txBox="1"/>
        </xdr:nvSpPr>
        <xdr:spPr>
          <a:xfrm>
            <a:off x="4860681" y="624253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0x00001100</a:t>
            </a:r>
            <a:endParaRPr lang="zh-TW" altLang="en-US" sz="1000">
              <a:latin typeface="Arial" panose="020B0604020202020204" pitchFamily="34" charset="0"/>
              <a:cs typeface="Arial" panose="020B0604020202020204" pitchFamily="34" charset="0"/>
            </a:endParaRPr>
          </a:p>
        </xdr:txBody>
      </xdr:sp>
      <xdr:sp macro="" textlink="">
        <xdr:nvSpPr>
          <xdr:cNvPr id="30" name="文字方塊 6"/>
          <xdr:cNvSpPr txBox="1"/>
        </xdr:nvSpPr>
        <xdr:spPr>
          <a:xfrm>
            <a:off x="4838700" y="679205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000">
                <a:latin typeface="Arial" panose="020B0604020202020204" pitchFamily="34" charset="0"/>
                <a:cs typeface="Arial" panose="020B0604020202020204" pitchFamily="34" charset="0"/>
              </a:rPr>
              <a:t>0x000013FF</a:t>
            </a:r>
            <a:endParaRPr lang="zh-TW" altLang="en-US" sz="1000">
              <a:latin typeface="Arial" panose="020B0604020202020204" pitchFamily="34" charset="0"/>
              <a:cs typeface="Arial" panose="020B0604020202020204" pitchFamily="34" charset="0"/>
            </a:endParaRPr>
          </a:p>
        </xdr:txBody>
      </xdr:sp>
      <xdr:sp macro="" textlink="">
        <xdr:nvSpPr>
          <xdr:cNvPr id="31" name="矩形 30"/>
          <xdr:cNvSpPr/>
        </xdr:nvSpPr>
        <xdr:spPr bwMode="auto">
          <a:xfrm>
            <a:off x="9684728" y="4928193"/>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400" b="1" i="0" u="none" strike="noStrike" cap="none" normalizeH="0" baseline="0">
                <a:ln>
                  <a:noFill/>
                </a:ln>
                <a:solidFill>
                  <a:schemeClr val="tx1"/>
                </a:solidFill>
                <a:effectLst/>
                <a:latin typeface="+mn-lt"/>
              </a:rPr>
              <a:t>size : 1k bytes</a:t>
            </a:r>
            <a:endParaRPr kumimoji="1" lang="zh-TW" altLang="en-US" sz="1400" b="1" i="0" u="none" strike="noStrike" cap="none" normalizeH="0" baseline="0">
              <a:ln>
                <a:noFill/>
              </a:ln>
              <a:solidFill>
                <a:schemeClr val="tx1"/>
              </a:solidFill>
              <a:effectLst/>
              <a:latin typeface="+mn-lt"/>
            </a:endParaRPr>
          </a:p>
        </xdr:txBody>
      </xdr:sp>
      <xdr:sp macro="" textlink="">
        <xdr:nvSpPr>
          <xdr:cNvPr id="32" name="矩形 31"/>
          <xdr:cNvSpPr/>
        </xdr:nvSpPr>
        <xdr:spPr bwMode="auto">
          <a:xfrm>
            <a:off x="9712570" y="5622785"/>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400" b="1" i="0" u="none" strike="noStrike" cap="none" normalizeH="0" baseline="0">
                <a:ln>
                  <a:noFill/>
                </a:ln>
                <a:solidFill>
                  <a:schemeClr val="tx1"/>
                </a:solidFill>
                <a:effectLst/>
                <a:latin typeface="+mn-lt"/>
              </a:rPr>
              <a:t>size : 256 bytes</a:t>
            </a:r>
            <a:endParaRPr kumimoji="1" lang="zh-TW" altLang="en-US" sz="1400" b="1" i="0" u="none" strike="noStrike" cap="none" normalizeH="0" baseline="0">
              <a:ln>
                <a:noFill/>
              </a:ln>
              <a:solidFill>
                <a:schemeClr val="tx1"/>
              </a:solidFill>
              <a:effectLst/>
              <a:latin typeface="+mn-lt"/>
            </a:endParaRPr>
          </a:p>
        </xdr:txBody>
      </xdr:sp>
      <xdr:sp macro="" textlink="">
        <xdr:nvSpPr>
          <xdr:cNvPr id="33" name="矩形 32"/>
          <xdr:cNvSpPr/>
        </xdr:nvSpPr>
        <xdr:spPr bwMode="auto">
          <a:xfrm>
            <a:off x="9769720" y="6419954"/>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400" b="1" i="0" u="none" strike="noStrike" cap="none" normalizeH="0" baseline="0">
                <a:ln>
                  <a:noFill/>
                </a:ln>
                <a:solidFill>
                  <a:schemeClr val="tx1"/>
                </a:solidFill>
                <a:effectLst/>
                <a:latin typeface="+mn-lt"/>
              </a:rPr>
              <a:t>size : 767 bytes</a:t>
            </a:r>
            <a:endParaRPr kumimoji="1" lang="zh-TW" altLang="en-US" sz="1400" b="1" i="0" u="none" strike="noStrike" cap="none" normalizeH="0" baseline="0">
              <a:ln>
                <a:noFill/>
              </a:ln>
              <a:solidFill>
                <a:schemeClr val="tx1"/>
              </a:solidFill>
              <a:effectLst/>
              <a:latin typeface="+mn-lt"/>
            </a:endParaRPr>
          </a:p>
        </xdr:txBody>
      </xdr:sp>
    </xdr:grpSp>
    <xdr:clientData/>
  </xdr:twoCellAnchor>
  <xdr:twoCellAnchor>
    <xdr:from>
      <xdr:col>8</xdr:col>
      <xdr:colOff>329711</xdr:colOff>
      <xdr:row>2</xdr:row>
      <xdr:rowOff>99751</xdr:rowOff>
    </xdr:from>
    <xdr:to>
      <xdr:col>17</xdr:col>
      <xdr:colOff>21736</xdr:colOff>
      <xdr:row>4</xdr:row>
      <xdr:rowOff>126680</xdr:rowOff>
    </xdr:to>
    <xdr:sp macro="" textlink="">
      <xdr:nvSpPr>
        <xdr:cNvPr id="34" name="矩形 33"/>
        <xdr:cNvSpPr/>
      </xdr:nvSpPr>
      <xdr:spPr bwMode="auto">
        <a:xfrm>
          <a:off x="5194788" y="495405"/>
          <a:ext cx="5165236" cy="422583"/>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400" b="1" i="0" u="none" strike="noStrike" cap="none" normalizeH="0" baseline="0">
              <a:ln>
                <a:noFill/>
              </a:ln>
              <a:solidFill>
                <a:schemeClr val="tx1"/>
              </a:solidFill>
              <a:effectLst/>
              <a:latin typeface="+mn-lt"/>
            </a:rPr>
            <a:t>RT584z security page flash layout</a:t>
          </a:r>
          <a:endParaRPr kumimoji="1" lang="zh-TW" altLang="en-US" sz="2400" b="1" i="0" u="none" strike="noStrike" cap="none" normalizeH="0" baseline="0">
            <a:ln>
              <a:noFill/>
            </a:ln>
            <a:solidFill>
              <a:schemeClr val="tx1"/>
            </a:solidFill>
            <a:effectLst/>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152883</xdr:colOff>
      <xdr:row>3</xdr:row>
      <xdr:rowOff>146068</xdr:rowOff>
    </xdr:from>
    <xdr:to>
      <xdr:col>7</xdr:col>
      <xdr:colOff>105826</xdr:colOff>
      <xdr:row>5</xdr:row>
      <xdr:rowOff>166493</xdr:rowOff>
    </xdr:to>
    <xdr:sp macro="" textlink="">
      <xdr:nvSpPr>
        <xdr:cNvPr id="2" name="矩形 1"/>
        <xdr:cNvSpPr/>
      </xdr:nvSpPr>
      <xdr:spPr bwMode="auto">
        <a:xfrm>
          <a:off x="1372083" y="746143"/>
          <a:ext cx="3000943" cy="420475"/>
        </a:xfrm>
        <a:prstGeom prst="rect">
          <a:avLst/>
        </a:prstGeom>
        <a:solidFill>
          <a:srgbClr val="00B05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000">
              <a:effectLst/>
              <a:latin typeface="+mn-lt"/>
            </a:rPr>
            <a:t>Bootloader (32K)</a:t>
          </a:r>
          <a:endParaRPr kumimoji="1" lang="zh-TW" altLang="en-US" sz="2000" b="0" i="0" u="none" strike="noStrike" cap="none" normalizeH="0" baseline="0">
            <a:ln>
              <a:noFill/>
            </a:ln>
            <a:solidFill>
              <a:schemeClr val="tx1"/>
            </a:solidFill>
            <a:effectLst/>
            <a:latin typeface="+mn-lt"/>
          </a:endParaRPr>
        </a:p>
      </xdr:txBody>
    </xdr:sp>
    <xdr:clientData/>
  </xdr:twoCellAnchor>
  <xdr:twoCellAnchor>
    <xdr:from>
      <xdr:col>2</xdr:col>
      <xdr:colOff>144883</xdr:colOff>
      <xdr:row>5</xdr:row>
      <xdr:rowOff>174182</xdr:rowOff>
    </xdr:from>
    <xdr:to>
      <xdr:col>7</xdr:col>
      <xdr:colOff>114300</xdr:colOff>
      <xdr:row>18</xdr:row>
      <xdr:rowOff>127913</xdr:rowOff>
    </xdr:to>
    <xdr:sp macro="" textlink="">
      <xdr:nvSpPr>
        <xdr:cNvPr id="3" name="矩形 2"/>
        <xdr:cNvSpPr/>
      </xdr:nvSpPr>
      <xdr:spPr bwMode="auto">
        <a:xfrm>
          <a:off x="1364083" y="1174307"/>
          <a:ext cx="3017417" cy="2554056"/>
        </a:xfrm>
        <a:prstGeom prst="rect">
          <a:avLst/>
        </a:prstGeom>
        <a:solidFill>
          <a:schemeClr val="accent2">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fontAlgn="base"/>
          <a:r>
            <a:rPr kumimoji="1" lang="en-US" altLang="zh-TW" sz="1800" kern="1200">
              <a:solidFill>
                <a:schemeClr val="tx1"/>
              </a:solidFill>
              <a:effectLst/>
              <a:latin typeface="+mn-lt"/>
              <a:ea typeface="+mn-ea"/>
              <a:cs typeface="+mn-cs"/>
            </a:rPr>
            <a:t>Application (492K)</a:t>
          </a:r>
          <a:endParaRPr lang="zh-TW" altLang="zh-TW" sz="2000">
            <a:effectLst/>
          </a:endParaRPr>
        </a:p>
        <a:p>
          <a:pPr rtl="0" fontAlgn="base"/>
          <a:endParaRPr lang="zh-TW" altLang="zh-TW" sz="1400">
            <a:effectLst/>
          </a:endParaRPr>
        </a:p>
      </xdr:txBody>
    </xdr:sp>
    <xdr:clientData/>
  </xdr:twoCellAnchor>
  <xdr:twoCellAnchor>
    <xdr:from>
      <xdr:col>0</xdr:col>
      <xdr:colOff>326240</xdr:colOff>
      <xdr:row>3</xdr:row>
      <xdr:rowOff>25045</xdr:rowOff>
    </xdr:from>
    <xdr:to>
      <xdr:col>2</xdr:col>
      <xdr:colOff>152246</xdr:colOff>
      <xdr:row>4</xdr:row>
      <xdr:rowOff>66805</xdr:rowOff>
    </xdr:to>
    <xdr:sp macro="" textlink="">
      <xdr:nvSpPr>
        <xdr:cNvPr id="4" name="文字方塊 6"/>
        <xdr:cNvSpPr txBox="1"/>
      </xdr:nvSpPr>
      <xdr:spPr>
        <a:xfrm>
          <a:off x="326240" y="625120"/>
          <a:ext cx="1045206" cy="2417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335310</xdr:colOff>
      <xdr:row>5</xdr:row>
      <xdr:rowOff>41011</xdr:rowOff>
    </xdr:from>
    <xdr:to>
      <xdr:col>2</xdr:col>
      <xdr:colOff>190500</xdr:colOff>
      <xdr:row>6</xdr:row>
      <xdr:rowOff>57150</xdr:rowOff>
    </xdr:to>
    <xdr:sp macro="" textlink="">
      <xdr:nvSpPr>
        <xdr:cNvPr id="5" name="文字方塊 7"/>
        <xdr:cNvSpPr txBox="1"/>
      </xdr:nvSpPr>
      <xdr:spPr>
        <a:xfrm>
          <a:off x="335310" y="1041136"/>
          <a:ext cx="1074390" cy="21616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0x00008000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312419</xdr:colOff>
      <xdr:row>22</xdr:row>
      <xdr:rowOff>36589</xdr:rowOff>
    </xdr:from>
    <xdr:to>
      <xdr:col>2</xdr:col>
      <xdr:colOff>295274</xdr:colOff>
      <xdr:row>23</xdr:row>
      <xdr:rowOff>95250</xdr:rowOff>
    </xdr:to>
    <xdr:sp macro="" textlink="">
      <xdr:nvSpPr>
        <xdr:cNvPr id="6" name="文字方塊 9"/>
        <xdr:cNvSpPr txBox="1"/>
      </xdr:nvSpPr>
      <xdr:spPr>
        <a:xfrm>
          <a:off x="312419" y="4437139"/>
          <a:ext cx="1202055" cy="25868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0x000FFFFF</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524567</xdr:colOff>
      <xdr:row>1</xdr:row>
      <xdr:rowOff>55788</xdr:rowOff>
    </xdr:from>
    <xdr:to>
      <xdr:col>8</xdr:col>
      <xdr:colOff>379095</xdr:colOff>
      <xdr:row>3</xdr:row>
      <xdr:rowOff>97057</xdr:rowOff>
    </xdr:to>
    <xdr:sp macro="" textlink="">
      <xdr:nvSpPr>
        <xdr:cNvPr id="7" name="矩形 6"/>
        <xdr:cNvSpPr/>
      </xdr:nvSpPr>
      <xdr:spPr bwMode="auto">
        <a:xfrm>
          <a:off x="524567" y="255813"/>
          <a:ext cx="4731328" cy="441319"/>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400" b="1" kern="1200">
              <a:solidFill>
                <a:schemeClr val="tx1"/>
              </a:solidFill>
              <a:effectLst/>
              <a:latin typeface="+mn-lt"/>
              <a:ea typeface="+mn-ea"/>
              <a:cs typeface="+mn-cs"/>
            </a:rPr>
            <a:t>RT581 programe</a:t>
          </a:r>
          <a:r>
            <a:rPr lang="en-US" altLang="zh-TW" sz="2400" b="1" kern="1200" baseline="0">
              <a:solidFill>
                <a:schemeClr val="tx1"/>
              </a:solidFill>
              <a:effectLst/>
              <a:latin typeface="+mn-lt"/>
              <a:ea typeface="+mn-ea"/>
              <a:cs typeface="+mn-cs"/>
            </a:rPr>
            <a:t> flash layout</a:t>
          </a:r>
          <a:r>
            <a:rPr lang="en-US" altLang="zh-TW" sz="2400" b="1" kern="1200">
              <a:solidFill>
                <a:schemeClr val="tx1"/>
              </a:solidFill>
              <a:effectLst/>
              <a:latin typeface="+mn-lt"/>
              <a:ea typeface="+mn-ea"/>
              <a:cs typeface="+mn-cs"/>
            </a:rPr>
            <a:t> </a:t>
          </a:r>
          <a:endParaRPr kumimoji="1" lang="zh-TW" altLang="en-US" sz="2400" b="0" i="0" u="none" strike="noStrike" cap="none" normalizeH="0" baseline="0">
            <a:ln>
              <a:noFill/>
            </a:ln>
            <a:solidFill>
              <a:schemeClr val="tx1"/>
            </a:solidFill>
            <a:effectLst>
              <a:outerShdw blurRad="38100" dist="38100" dir="2700000" algn="tl">
                <a:srgbClr val="000000">
                  <a:alpha val="43137"/>
                </a:srgbClr>
              </a:outerShdw>
            </a:effectLst>
            <a:latin typeface="+mn-lt"/>
            <a:cs typeface="Arial" panose="020B0604020202020204" pitchFamily="34" charset="0"/>
          </a:endParaRPr>
        </a:p>
      </xdr:txBody>
    </xdr:sp>
    <xdr:clientData/>
  </xdr:twoCellAnchor>
  <xdr:twoCellAnchor>
    <xdr:from>
      <xdr:col>0</xdr:col>
      <xdr:colOff>294558</xdr:colOff>
      <xdr:row>20</xdr:row>
      <xdr:rowOff>3593</xdr:rowOff>
    </xdr:from>
    <xdr:to>
      <xdr:col>2</xdr:col>
      <xdr:colOff>228600</xdr:colOff>
      <xdr:row>21</xdr:row>
      <xdr:rowOff>95250</xdr:rowOff>
    </xdr:to>
    <xdr:sp macro="" textlink="">
      <xdr:nvSpPr>
        <xdr:cNvPr id="8" name="文字方塊 9"/>
        <xdr:cNvSpPr txBox="1"/>
      </xdr:nvSpPr>
      <xdr:spPr>
        <a:xfrm>
          <a:off x="294558" y="4004093"/>
          <a:ext cx="1153242" cy="2916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0x000FF000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2</xdr:col>
      <xdr:colOff>119433</xdr:colOff>
      <xdr:row>20</xdr:row>
      <xdr:rowOff>165575</xdr:rowOff>
    </xdr:from>
    <xdr:to>
      <xdr:col>7</xdr:col>
      <xdr:colOff>114301</xdr:colOff>
      <xdr:row>22</xdr:row>
      <xdr:rowOff>193689</xdr:rowOff>
    </xdr:to>
    <xdr:sp macro="" textlink="">
      <xdr:nvSpPr>
        <xdr:cNvPr id="9" name="矩形 8"/>
        <xdr:cNvSpPr/>
      </xdr:nvSpPr>
      <xdr:spPr bwMode="auto">
        <a:xfrm>
          <a:off x="1338633" y="4166075"/>
          <a:ext cx="3042868" cy="428164"/>
        </a:xfrm>
        <a:prstGeom prst="rect">
          <a:avLst/>
        </a:prstGeom>
        <a:solidFill>
          <a:srgbClr val="00B0F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fontAlgn="auto" latinLnBrk="0" hangingPunct="1"/>
          <a:r>
            <a:rPr lang="en-US" altLang="zh-TW" sz="2000" b="1">
              <a:effectLst/>
              <a:latin typeface="+mn-lt"/>
            </a:rPr>
            <a:t>Mp</a:t>
          </a:r>
          <a:r>
            <a:rPr lang="en-US" altLang="zh-TW" sz="2000" b="1" baseline="0">
              <a:effectLst/>
              <a:latin typeface="+mn-lt"/>
            </a:rPr>
            <a:t> sector Info(4k)</a:t>
          </a:r>
          <a:endParaRPr lang="zh-TW" altLang="zh-TW" sz="2000" b="1">
            <a:effectLst/>
            <a:latin typeface="+mn-lt"/>
          </a:endParaRPr>
        </a:p>
      </xdr:txBody>
    </xdr:sp>
    <xdr:clientData/>
  </xdr:twoCellAnchor>
  <xdr:twoCellAnchor>
    <xdr:from>
      <xdr:col>2</xdr:col>
      <xdr:colOff>119431</xdr:colOff>
      <xdr:row>18</xdr:row>
      <xdr:rowOff>135733</xdr:rowOff>
    </xdr:from>
    <xdr:to>
      <xdr:col>7</xdr:col>
      <xdr:colOff>114300</xdr:colOff>
      <xdr:row>20</xdr:row>
      <xdr:rowOff>163847</xdr:rowOff>
    </xdr:to>
    <xdr:sp macro="" textlink="">
      <xdr:nvSpPr>
        <xdr:cNvPr id="10" name="矩形 9"/>
        <xdr:cNvSpPr/>
      </xdr:nvSpPr>
      <xdr:spPr bwMode="auto">
        <a:xfrm>
          <a:off x="1338631" y="3736183"/>
          <a:ext cx="3042869" cy="428164"/>
        </a:xfrm>
        <a:prstGeom prst="rect">
          <a:avLst/>
        </a:prstGeom>
        <a:solidFill>
          <a:srgbClr val="FFC00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fontAlgn="auto" latinLnBrk="0" hangingPunct="1"/>
          <a:r>
            <a:rPr lang="en-US" altLang="zh-TW" sz="2000" kern="1200">
              <a:solidFill>
                <a:schemeClr val="tx1"/>
              </a:solidFill>
              <a:effectLst/>
              <a:latin typeface="+mn-lt"/>
              <a:ea typeface="+mn-ea"/>
              <a:cs typeface="+mn-cs"/>
            </a:rPr>
            <a:t>Calibration Data(4K)</a:t>
          </a:r>
          <a:endParaRPr lang="zh-TW" altLang="zh-TW" sz="2000">
            <a:effectLst/>
          </a:endParaRPr>
        </a:p>
      </xdr:txBody>
    </xdr:sp>
    <xdr:clientData/>
  </xdr:twoCellAnchor>
  <xdr:twoCellAnchor>
    <xdr:from>
      <xdr:col>0</xdr:col>
      <xdr:colOff>280873</xdr:colOff>
      <xdr:row>17</xdr:row>
      <xdr:rowOff>178245</xdr:rowOff>
    </xdr:from>
    <xdr:to>
      <xdr:col>2</xdr:col>
      <xdr:colOff>209550</xdr:colOff>
      <xdr:row>19</xdr:row>
      <xdr:rowOff>66674</xdr:rowOff>
    </xdr:to>
    <xdr:sp macro="" textlink="">
      <xdr:nvSpPr>
        <xdr:cNvPr id="11" name="文字方塊 9"/>
        <xdr:cNvSpPr txBox="1"/>
      </xdr:nvSpPr>
      <xdr:spPr>
        <a:xfrm>
          <a:off x="280873" y="3578670"/>
          <a:ext cx="1147877" cy="28847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0x000FE000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8</xdr:col>
      <xdr:colOff>209550</xdr:colOff>
      <xdr:row>4</xdr:row>
      <xdr:rowOff>48987</xdr:rowOff>
    </xdr:from>
    <xdr:to>
      <xdr:col>21</xdr:col>
      <xdr:colOff>38100</xdr:colOff>
      <xdr:row>18</xdr:row>
      <xdr:rowOff>76200</xdr:rowOff>
    </xdr:to>
    <xdr:grpSp>
      <xdr:nvGrpSpPr>
        <xdr:cNvPr id="12" name="群組 11"/>
        <xdr:cNvGrpSpPr/>
      </xdr:nvGrpSpPr>
      <xdr:grpSpPr>
        <a:xfrm>
          <a:off x="5086350" y="849087"/>
          <a:ext cx="7753350" cy="2827563"/>
          <a:chOff x="4815254" y="4665785"/>
          <a:chExt cx="6354414" cy="2368059"/>
        </a:xfrm>
      </xdr:grpSpPr>
      <xdr:sp macro="" textlink="">
        <xdr:nvSpPr>
          <xdr:cNvPr id="13" name="矩形 12"/>
          <xdr:cNvSpPr/>
        </xdr:nvSpPr>
        <xdr:spPr bwMode="auto">
          <a:xfrm>
            <a:off x="5672750" y="4769929"/>
            <a:ext cx="4035423" cy="659321"/>
          </a:xfrm>
          <a:prstGeom prst="rect">
            <a:avLst/>
          </a:prstGeom>
          <a:solidFill>
            <a:schemeClr val="accent1">
              <a:lumMod val="60000"/>
              <a:lumOff val="4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defRPr/>
            </a:pPr>
            <a:r>
              <a:rPr kumimoji="1" lang="en-US" altLang="zh-TW" sz="1800" b="0" i="0" kern="1200" baseline="0">
                <a:solidFill>
                  <a:schemeClr val="tx1"/>
                </a:solidFill>
                <a:effectLst/>
                <a:latin typeface="+mn-lt"/>
                <a:ea typeface="+mn-ea"/>
                <a:cs typeface="+mn-cs"/>
              </a:rPr>
              <a:t>Security key</a:t>
            </a:r>
            <a:endParaRPr lang="zh-TW" altLang="zh-TW" sz="2000">
              <a:effectLst/>
            </a:endParaRPr>
          </a:p>
        </xdr:txBody>
      </xdr:sp>
      <xdr:sp macro="" textlink="">
        <xdr:nvSpPr>
          <xdr:cNvPr id="14" name="矩形 13"/>
          <xdr:cNvSpPr/>
        </xdr:nvSpPr>
        <xdr:spPr bwMode="auto">
          <a:xfrm>
            <a:off x="5693266" y="5515810"/>
            <a:ext cx="4035423" cy="659321"/>
          </a:xfrm>
          <a:prstGeom prst="rect">
            <a:avLst/>
          </a:prstGeom>
          <a:solidFill>
            <a:schemeClr val="accent2">
              <a:lumMod val="40000"/>
              <a:lumOff val="6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defRPr/>
            </a:pPr>
            <a:r>
              <a:rPr lang="en-US" altLang="zh-TW" sz="2000">
                <a:effectLst/>
              </a:rPr>
              <a:t>MAC</a:t>
            </a:r>
            <a:r>
              <a:rPr lang="en-US" altLang="zh-TW" sz="2000" baseline="0">
                <a:effectLst/>
              </a:rPr>
              <a:t> Id</a:t>
            </a:r>
            <a:endParaRPr lang="zh-TW" altLang="zh-TW" sz="2000">
              <a:effectLst/>
            </a:endParaRPr>
          </a:p>
        </xdr:txBody>
      </xdr:sp>
      <xdr:sp macro="" textlink="">
        <xdr:nvSpPr>
          <xdr:cNvPr id="15" name="矩形 14"/>
          <xdr:cNvSpPr/>
        </xdr:nvSpPr>
        <xdr:spPr bwMode="auto">
          <a:xfrm>
            <a:off x="5706454" y="6283672"/>
            <a:ext cx="4035423" cy="659321"/>
          </a:xfrm>
          <a:prstGeom prst="rect">
            <a:avLst/>
          </a:prstGeom>
          <a:solidFill>
            <a:schemeClr val="accent4">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defRPr/>
            </a:pPr>
            <a:r>
              <a:rPr lang="en-US" altLang="zh-TW" sz="1800" kern="1200">
                <a:solidFill>
                  <a:schemeClr val="tx1"/>
                </a:solidFill>
                <a:effectLst/>
                <a:latin typeface="+mn-lt"/>
                <a:ea typeface="+mn-ea"/>
                <a:cs typeface="+mn-cs"/>
              </a:rPr>
              <a:t>FT calibration</a:t>
            </a:r>
            <a:r>
              <a:rPr lang="en-US" altLang="zh-TW" sz="1800" kern="1200" baseline="0">
                <a:solidFill>
                  <a:schemeClr val="tx1"/>
                </a:solidFill>
                <a:effectLst/>
                <a:latin typeface="+mn-lt"/>
                <a:ea typeface="+mn-ea"/>
                <a:cs typeface="+mn-cs"/>
              </a:rPr>
              <a:t> data</a:t>
            </a:r>
            <a:endParaRPr lang="zh-TW" altLang="zh-TW" sz="2000">
              <a:effectLst/>
            </a:endParaRPr>
          </a:p>
        </xdr:txBody>
      </xdr:sp>
      <xdr:sp macro="" textlink="">
        <xdr:nvSpPr>
          <xdr:cNvPr id="16" name="文字方塊 6"/>
          <xdr:cNvSpPr txBox="1"/>
        </xdr:nvSpPr>
        <xdr:spPr>
          <a:xfrm>
            <a:off x="4815254" y="4665785"/>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0x00001000</a:t>
            </a:r>
            <a:endParaRPr lang="zh-TW" altLang="en-US" sz="1200">
              <a:latin typeface="Arial" panose="020B0604020202020204" pitchFamily="34" charset="0"/>
              <a:cs typeface="Arial" panose="020B0604020202020204" pitchFamily="34" charset="0"/>
            </a:endParaRPr>
          </a:p>
        </xdr:txBody>
      </xdr:sp>
      <xdr:sp macro="" textlink="">
        <xdr:nvSpPr>
          <xdr:cNvPr id="17" name="文字方塊 6"/>
          <xdr:cNvSpPr txBox="1"/>
        </xdr:nvSpPr>
        <xdr:spPr>
          <a:xfrm>
            <a:off x="4835770" y="5287108"/>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0x000000FF</a:t>
            </a:r>
            <a:endParaRPr lang="zh-TW" altLang="en-US" sz="1200">
              <a:latin typeface="Arial" panose="020B0604020202020204" pitchFamily="34" charset="0"/>
              <a:cs typeface="Arial" panose="020B0604020202020204" pitchFamily="34" charset="0"/>
            </a:endParaRPr>
          </a:p>
        </xdr:txBody>
      </xdr:sp>
      <xdr:sp macro="" textlink="">
        <xdr:nvSpPr>
          <xdr:cNvPr id="18" name="文字方塊 6"/>
          <xdr:cNvSpPr txBox="1"/>
        </xdr:nvSpPr>
        <xdr:spPr>
          <a:xfrm>
            <a:off x="4834305" y="543950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0x00001100</a:t>
            </a:r>
            <a:endParaRPr lang="zh-TW" altLang="en-US" sz="1200">
              <a:latin typeface="Arial" panose="020B0604020202020204" pitchFamily="34" charset="0"/>
              <a:cs typeface="Arial" panose="020B0604020202020204" pitchFamily="34" charset="0"/>
            </a:endParaRPr>
          </a:p>
        </xdr:txBody>
      </xdr:sp>
      <xdr:sp macro="" textlink="">
        <xdr:nvSpPr>
          <xdr:cNvPr id="19" name="文字方塊 6"/>
          <xdr:cNvSpPr txBox="1"/>
        </xdr:nvSpPr>
        <xdr:spPr>
          <a:xfrm>
            <a:off x="4847493" y="6046176"/>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0x000013FF</a:t>
            </a:r>
            <a:endParaRPr lang="zh-TW" altLang="en-US" sz="1200">
              <a:latin typeface="Arial" panose="020B0604020202020204" pitchFamily="34" charset="0"/>
              <a:cs typeface="Arial" panose="020B0604020202020204" pitchFamily="34" charset="0"/>
            </a:endParaRPr>
          </a:p>
        </xdr:txBody>
      </xdr:sp>
      <xdr:sp macro="" textlink="">
        <xdr:nvSpPr>
          <xdr:cNvPr id="20" name="文字方塊 6"/>
          <xdr:cNvSpPr txBox="1"/>
        </xdr:nvSpPr>
        <xdr:spPr>
          <a:xfrm>
            <a:off x="4860681" y="624253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0x00002000</a:t>
            </a:r>
            <a:endParaRPr lang="zh-TW" altLang="en-US" sz="1200">
              <a:latin typeface="Arial" panose="020B0604020202020204" pitchFamily="34" charset="0"/>
              <a:cs typeface="Arial" panose="020B0604020202020204" pitchFamily="34" charset="0"/>
            </a:endParaRPr>
          </a:p>
        </xdr:txBody>
      </xdr:sp>
      <xdr:sp macro="" textlink="">
        <xdr:nvSpPr>
          <xdr:cNvPr id="21" name="文字方塊 6"/>
          <xdr:cNvSpPr txBox="1"/>
        </xdr:nvSpPr>
        <xdr:spPr>
          <a:xfrm>
            <a:off x="4838700" y="679205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0x000023FF</a:t>
            </a:r>
            <a:endParaRPr lang="zh-TW" altLang="en-US" sz="1200">
              <a:latin typeface="Arial" panose="020B0604020202020204" pitchFamily="34" charset="0"/>
              <a:cs typeface="Arial" panose="020B0604020202020204" pitchFamily="34" charset="0"/>
            </a:endParaRPr>
          </a:p>
        </xdr:txBody>
      </xdr:sp>
      <xdr:sp macro="" textlink="">
        <xdr:nvSpPr>
          <xdr:cNvPr id="22" name="矩形 21"/>
          <xdr:cNvSpPr/>
        </xdr:nvSpPr>
        <xdr:spPr bwMode="auto">
          <a:xfrm>
            <a:off x="9684728" y="4928193"/>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1k bytes</a:t>
            </a:r>
            <a:endParaRPr kumimoji="1" lang="zh-TW" altLang="en-US" sz="1600" b="1" i="0" u="none" strike="noStrike" cap="none" normalizeH="0" baseline="0">
              <a:ln>
                <a:noFill/>
              </a:ln>
              <a:solidFill>
                <a:schemeClr val="tx1"/>
              </a:solidFill>
              <a:effectLst/>
              <a:latin typeface="+mn-lt"/>
            </a:endParaRPr>
          </a:p>
        </xdr:txBody>
      </xdr:sp>
      <xdr:sp macro="" textlink="">
        <xdr:nvSpPr>
          <xdr:cNvPr id="23" name="矩形 22"/>
          <xdr:cNvSpPr/>
        </xdr:nvSpPr>
        <xdr:spPr bwMode="auto">
          <a:xfrm>
            <a:off x="9712570" y="5622785"/>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256 bytes</a:t>
            </a:r>
            <a:endParaRPr kumimoji="1" lang="zh-TW" altLang="en-US" sz="1600" b="1" i="0" u="none" strike="noStrike" cap="none" normalizeH="0" baseline="0">
              <a:ln>
                <a:noFill/>
              </a:ln>
              <a:solidFill>
                <a:schemeClr val="tx1"/>
              </a:solidFill>
              <a:effectLst/>
              <a:latin typeface="+mn-lt"/>
            </a:endParaRPr>
          </a:p>
        </xdr:txBody>
      </xdr:sp>
      <xdr:sp macro="" textlink="">
        <xdr:nvSpPr>
          <xdr:cNvPr id="24" name="矩形 23"/>
          <xdr:cNvSpPr/>
        </xdr:nvSpPr>
        <xdr:spPr bwMode="auto">
          <a:xfrm>
            <a:off x="9754107" y="6459839"/>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767 bytes</a:t>
            </a:r>
            <a:endParaRPr kumimoji="1" lang="zh-TW" altLang="en-US" sz="1600" b="1" i="0" u="none" strike="noStrike" cap="none" normalizeH="0" baseline="0">
              <a:ln>
                <a:noFill/>
              </a:ln>
              <a:solidFill>
                <a:schemeClr val="tx1"/>
              </a:solidFill>
              <a:effectLst/>
              <a:latin typeface="+mn-lt"/>
            </a:endParaRPr>
          </a:p>
        </xdr:txBody>
      </xdr:sp>
    </xdr:grpSp>
    <xdr:clientData/>
  </xdr:twoCellAnchor>
  <xdr:twoCellAnchor>
    <xdr:from>
      <xdr:col>9</xdr:col>
      <xdr:colOff>376603</xdr:colOff>
      <xdr:row>1</xdr:row>
      <xdr:rowOff>76200</xdr:rowOff>
    </xdr:from>
    <xdr:to>
      <xdr:col>18</xdr:col>
      <xdr:colOff>55439</xdr:colOff>
      <xdr:row>3</xdr:row>
      <xdr:rowOff>98733</xdr:rowOff>
    </xdr:to>
    <xdr:sp macro="" textlink="">
      <xdr:nvSpPr>
        <xdr:cNvPr id="25" name="矩形 24"/>
        <xdr:cNvSpPr/>
      </xdr:nvSpPr>
      <xdr:spPr bwMode="auto">
        <a:xfrm>
          <a:off x="5863003" y="276225"/>
          <a:ext cx="5165236" cy="422583"/>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400" b="1" i="0" u="none" strike="noStrike" cap="none" normalizeH="0" baseline="0">
              <a:ln>
                <a:noFill/>
              </a:ln>
              <a:solidFill>
                <a:schemeClr val="tx1"/>
              </a:solidFill>
              <a:effectLst/>
              <a:latin typeface="+mn-lt"/>
            </a:rPr>
            <a:t>RT581 security page flash layout</a:t>
          </a:r>
          <a:endParaRPr kumimoji="1" lang="zh-TW" altLang="en-US" sz="2400" b="1" i="0" u="none" strike="noStrike" cap="none" normalizeH="0" baseline="0">
            <a:ln>
              <a:noFill/>
            </a:ln>
            <a:solidFill>
              <a:schemeClr val="tx1"/>
            </a:solidFill>
            <a:effectLst/>
            <a:latin typeface="+mn-lt"/>
          </a:endParaRPr>
        </a:p>
      </xdr:txBody>
    </xdr:sp>
    <xdr:clientData/>
  </xdr:twoCellAnchor>
  <xdr:twoCellAnchor>
    <xdr:from>
      <xdr:col>2</xdr:col>
      <xdr:colOff>100610</xdr:colOff>
      <xdr:row>29</xdr:row>
      <xdr:rowOff>195055</xdr:rowOff>
    </xdr:from>
    <xdr:to>
      <xdr:col>7</xdr:col>
      <xdr:colOff>53553</xdr:colOff>
      <xdr:row>32</xdr:row>
      <xdr:rowOff>15455</xdr:rowOff>
    </xdr:to>
    <xdr:sp macro="" textlink="">
      <xdr:nvSpPr>
        <xdr:cNvPr id="26" name="矩形 25"/>
        <xdr:cNvSpPr/>
      </xdr:nvSpPr>
      <xdr:spPr bwMode="auto">
        <a:xfrm>
          <a:off x="1319810" y="5995780"/>
          <a:ext cx="3000943" cy="420475"/>
        </a:xfrm>
        <a:prstGeom prst="rect">
          <a:avLst/>
        </a:prstGeom>
        <a:solidFill>
          <a:srgbClr val="00B05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000">
              <a:effectLst/>
              <a:latin typeface="+mn-lt"/>
            </a:rPr>
            <a:t>Bootloader (32K)</a:t>
          </a:r>
          <a:endParaRPr kumimoji="1" lang="zh-TW" altLang="en-US" sz="2000" b="0" i="0" u="none" strike="noStrike" cap="none" normalizeH="0" baseline="0">
            <a:ln>
              <a:noFill/>
            </a:ln>
            <a:solidFill>
              <a:schemeClr val="tx1"/>
            </a:solidFill>
            <a:effectLst/>
            <a:latin typeface="+mn-lt"/>
          </a:endParaRPr>
        </a:p>
      </xdr:txBody>
    </xdr:sp>
    <xdr:clientData/>
  </xdr:twoCellAnchor>
  <xdr:twoCellAnchor>
    <xdr:from>
      <xdr:col>2</xdr:col>
      <xdr:colOff>92610</xdr:colOff>
      <xdr:row>32</xdr:row>
      <xdr:rowOff>23144</xdr:rowOff>
    </xdr:from>
    <xdr:to>
      <xdr:col>7</xdr:col>
      <xdr:colOff>62027</xdr:colOff>
      <xdr:row>44</xdr:row>
      <xdr:rowOff>176900</xdr:rowOff>
    </xdr:to>
    <xdr:sp macro="" textlink="">
      <xdr:nvSpPr>
        <xdr:cNvPr id="27" name="矩形 26"/>
        <xdr:cNvSpPr/>
      </xdr:nvSpPr>
      <xdr:spPr bwMode="auto">
        <a:xfrm>
          <a:off x="1311810" y="6423944"/>
          <a:ext cx="3017417" cy="2554056"/>
        </a:xfrm>
        <a:prstGeom prst="rect">
          <a:avLst/>
        </a:prstGeom>
        <a:solidFill>
          <a:schemeClr val="accent2">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fontAlgn="base"/>
          <a:r>
            <a:rPr kumimoji="1" lang="en-US" altLang="zh-TW" sz="2000" kern="1200">
              <a:solidFill>
                <a:schemeClr val="tx1"/>
              </a:solidFill>
              <a:effectLst/>
              <a:latin typeface="+mn-lt"/>
              <a:ea typeface="+mn-ea"/>
              <a:cs typeface="+mn-cs"/>
            </a:rPr>
            <a:t>Application (492K)</a:t>
          </a:r>
          <a:endParaRPr lang="zh-TW" altLang="zh-TW" sz="2000">
            <a:effectLst/>
            <a:latin typeface="+mn-lt"/>
          </a:endParaRPr>
        </a:p>
        <a:p>
          <a:pPr rtl="0" fontAlgn="base"/>
          <a:endParaRPr lang="zh-TW" altLang="zh-TW" sz="1400">
            <a:effectLst/>
          </a:endParaRPr>
        </a:p>
      </xdr:txBody>
    </xdr:sp>
    <xdr:clientData/>
  </xdr:twoCellAnchor>
  <xdr:twoCellAnchor>
    <xdr:from>
      <xdr:col>0</xdr:col>
      <xdr:colOff>273967</xdr:colOff>
      <xdr:row>29</xdr:row>
      <xdr:rowOff>74032</xdr:rowOff>
    </xdr:from>
    <xdr:to>
      <xdr:col>2</xdr:col>
      <xdr:colOff>99973</xdr:colOff>
      <xdr:row>30</xdr:row>
      <xdr:rowOff>115792</xdr:rowOff>
    </xdr:to>
    <xdr:sp macro="" textlink="">
      <xdr:nvSpPr>
        <xdr:cNvPr id="28" name="文字方塊 6"/>
        <xdr:cNvSpPr txBox="1"/>
      </xdr:nvSpPr>
      <xdr:spPr>
        <a:xfrm>
          <a:off x="273967" y="5874757"/>
          <a:ext cx="1045206" cy="2417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283037</xdr:colOff>
      <xdr:row>31</xdr:row>
      <xdr:rowOff>89998</xdr:rowOff>
    </xdr:from>
    <xdr:to>
      <xdr:col>2</xdr:col>
      <xdr:colOff>138227</xdr:colOff>
      <xdr:row>32</xdr:row>
      <xdr:rowOff>106137</xdr:rowOff>
    </xdr:to>
    <xdr:sp macro="" textlink="">
      <xdr:nvSpPr>
        <xdr:cNvPr id="29" name="文字方塊 7"/>
        <xdr:cNvSpPr txBox="1"/>
      </xdr:nvSpPr>
      <xdr:spPr>
        <a:xfrm>
          <a:off x="283037" y="6290773"/>
          <a:ext cx="1074390" cy="21616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0x00008000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260146</xdr:colOff>
      <xdr:row>48</xdr:row>
      <xdr:rowOff>85576</xdr:rowOff>
    </xdr:from>
    <xdr:to>
      <xdr:col>2</xdr:col>
      <xdr:colOff>243001</xdr:colOff>
      <xdr:row>49</xdr:row>
      <xdr:rowOff>144237</xdr:rowOff>
    </xdr:to>
    <xdr:sp macro="" textlink="">
      <xdr:nvSpPr>
        <xdr:cNvPr id="30" name="文字方塊 9"/>
        <xdr:cNvSpPr txBox="1"/>
      </xdr:nvSpPr>
      <xdr:spPr>
        <a:xfrm>
          <a:off x="260146" y="9686776"/>
          <a:ext cx="1202055" cy="25868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0x000FFFFF</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472294</xdr:colOff>
      <xdr:row>27</xdr:row>
      <xdr:rowOff>104775</xdr:rowOff>
    </xdr:from>
    <xdr:to>
      <xdr:col>8</xdr:col>
      <xdr:colOff>326822</xdr:colOff>
      <xdr:row>29</xdr:row>
      <xdr:rowOff>146044</xdr:rowOff>
    </xdr:to>
    <xdr:sp macro="" textlink="">
      <xdr:nvSpPr>
        <xdr:cNvPr id="31" name="矩形 30"/>
        <xdr:cNvSpPr/>
      </xdr:nvSpPr>
      <xdr:spPr bwMode="auto">
        <a:xfrm>
          <a:off x="472294" y="5505450"/>
          <a:ext cx="4731328" cy="441319"/>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400" b="1" kern="1200">
              <a:solidFill>
                <a:schemeClr val="tx1"/>
              </a:solidFill>
              <a:effectLst/>
              <a:latin typeface="+mn-lt"/>
              <a:ea typeface="+mn-ea"/>
              <a:cs typeface="+mn-cs"/>
            </a:rPr>
            <a:t>RT582 programe</a:t>
          </a:r>
          <a:r>
            <a:rPr lang="en-US" altLang="zh-TW" sz="2400" b="1" kern="1200" baseline="0">
              <a:solidFill>
                <a:schemeClr val="tx1"/>
              </a:solidFill>
              <a:effectLst/>
              <a:latin typeface="+mn-lt"/>
              <a:ea typeface="+mn-ea"/>
              <a:cs typeface="+mn-cs"/>
            </a:rPr>
            <a:t> flash layout</a:t>
          </a:r>
          <a:r>
            <a:rPr lang="en-US" altLang="zh-TW" sz="2400" b="1" kern="1200">
              <a:solidFill>
                <a:schemeClr val="tx1"/>
              </a:solidFill>
              <a:effectLst/>
              <a:latin typeface="+mn-lt"/>
              <a:ea typeface="+mn-ea"/>
              <a:cs typeface="+mn-cs"/>
            </a:rPr>
            <a:t> </a:t>
          </a:r>
          <a:endParaRPr kumimoji="1" lang="zh-TW" altLang="en-US" sz="2400" b="0" i="0" u="none" strike="noStrike" cap="none" normalizeH="0" baseline="0">
            <a:ln>
              <a:noFill/>
            </a:ln>
            <a:solidFill>
              <a:schemeClr val="tx1"/>
            </a:solidFill>
            <a:effectLst>
              <a:outerShdw blurRad="38100" dist="38100" dir="2700000" algn="tl">
                <a:srgbClr val="000000">
                  <a:alpha val="43137"/>
                </a:srgbClr>
              </a:outerShdw>
            </a:effectLst>
            <a:latin typeface="+mn-lt"/>
            <a:cs typeface="Arial" panose="020B0604020202020204" pitchFamily="34" charset="0"/>
          </a:endParaRPr>
        </a:p>
      </xdr:txBody>
    </xdr:sp>
    <xdr:clientData/>
  </xdr:twoCellAnchor>
  <xdr:twoCellAnchor>
    <xdr:from>
      <xdr:col>0</xdr:col>
      <xdr:colOff>242285</xdr:colOff>
      <xdr:row>46</xdr:row>
      <xdr:rowOff>52580</xdr:rowOff>
    </xdr:from>
    <xdr:to>
      <xdr:col>2</xdr:col>
      <xdr:colOff>176327</xdr:colOff>
      <xdr:row>47</xdr:row>
      <xdr:rowOff>144237</xdr:rowOff>
    </xdr:to>
    <xdr:sp macro="" textlink="">
      <xdr:nvSpPr>
        <xdr:cNvPr id="32" name="文字方塊 9"/>
        <xdr:cNvSpPr txBox="1"/>
      </xdr:nvSpPr>
      <xdr:spPr>
        <a:xfrm>
          <a:off x="242285" y="9253730"/>
          <a:ext cx="1153242" cy="2916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0x000FF000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2</xdr:col>
      <xdr:colOff>67160</xdr:colOff>
      <xdr:row>47</xdr:row>
      <xdr:rowOff>14537</xdr:rowOff>
    </xdr:from>
    <xdr:to>
      <xdr:col>7</xdr:col>
      <xdr:colOff>62028</xdr:colOff>
      <xdr:row>49</xdr:row>
      <xdr:rowOff>42651</xdr:rowOff>
    </xdr:to>
    <xdr:sp macro="" textlink="">
      <xdr:nvSpPr>
        <xdr:cNvPr id="33" name="矩形 32"/>
        <xdr:cNvSpPr/>
      </xdr:nvSpPr>
      <xdr:spPr bwMode="auto">
        <a:xfrm>
          <a:off x="1286360" y="9415712"/>
          <a:ext cx="3042868" cy="428164"/>
        </a:xfrm>
        <a:prstGeom prst="rect">
          <a:avLst/>
        </a:prstGeom>
        <a:solidFill>
          <a:srgbClr val="00B0F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fontAlgn="auto" latinLnBrk="0" hangingPunct="1"/>
          <a:r>
            <a:rPr lang="en-US" altLang="zh-TW" sz="2000" b="1">
              <a:effectLst/>
              <a:latin typeface="+mn-lt"/>
            </a:rPr>
            <a:t>Mp</a:t>
          </a:r>
          <a:r>
            <a:rPr lang="en-US" altLang="zh-TW" sz="2000" b="1" baseline="0">
              <a:effectLst/>
              <a:latin typeface="+mn-lt"/>
            </a:rPr>
            <a:t> sector Info(4k)</a:t>
          </a:r>
          <a:endParaRPr lang="zh-TW" altLang="zh-TW" sz="2000" b="1">
            <a:effectLst/>
            <a:latin typeface="+mn-lt"/>
          </a:endParaRPr>
        </a:p>
      </xdr:txBody>
    </xdr:sp>
    <xdr:clientData/>
  </xdr:twoCellAnchor>
  <xdr:twoCellAnchor>
    <xdr:from>
      <xdr:col>2</xdr:col>
      <xdr:colOff>67158</xdr:colOff>
      <xdr:row>44</xdr:row>
      <xdr:rowOff>184720</xdr:rowOff>
    </xdr:from>
    <xdr:to>
      <xdr:col>7</xdr:col>
      <xdr:colOff>62027</xdr:colOff>
      <xdr:row>47</xdr:row>
      <xdr:rowOff>12809</xdr:rowOff>
    </xdr:to>
    <xdr:sp macro="" textlink="">
      <xdr:nvSpPr>
        <xdr:cNvPr id="34" name="矩形 33"/>
        <xdr:cNvSpPr/>
      </xdr:nvSpPr>
      <xdr:spPr bwMode="auto">
        <a:xfrm>
          <a:off x="1286358" y="8985820"/>
          <a:ext cx="3042869" cy="428164"/>
        </a:xfrm>
        <a:prstGeom prst="rect">
          <a:avLst/>
        </a:prstGeom>
        <a:solidFill>
          <a:srgbClr val="FFC00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fontAlgn="auto" latinLnBrk="0" hangingPunct="1"/>
          <a:r>
            <a:rPr lang="en-US" altLang="zh-TW" sz="2000" kern="1200">
              <a:solidFill>
                <a:schemeClr val="tx1"/>
              </a:solidFill>
              <a:effectLst/>
              <a:latin typeface="+mn-lt"/>
              <a:ea typeface="+mn-ea"/>
              <a:cs typeface="+mn-cs"/>
            </a:rPr>
            <a:t>Calibration Data(4K)</a:t>
          </a:r>
          <a:endParaRPr lang="zh-TW" altLang="zh-TW" sz="2000">
            <a:effectLst/>
          </a:endParaRPr>
        </a:p>
      </xdr:txBody>
    </xdr:sp>
    <xdr:clientData/>
  </xdr:twoCellAnchor>
  <xdr:twoCellAnchor>
    <xdr:from>
      <xdr:col>0</xdr:col>
      <xdr:colOff>228600</xdr:colOff>
      <xdr:row>44</xdr:row>
      <xdr:rowOff>27207</xdr:rowOff>
    </xdr:from>
    <xdr:to>
      <xdr:col>2</xdr:col>
      <xdr:colOff>157277</xdr:colOff>
      <xdr:row>45</xdr:row>
      <xdr:rowOff>115661</xdr:rowOff>
    </xdr:to>
    <xdr:sp macro="" textlink="">
      <xdr:nvSpPr>
        <xdr:cNvPr id="35" name="文字方塊 9"/>
        <xdr:cNvSpPr txBox="1"/>
      </xdr:nvSpPr>
      <xdr:spPr>
        <a:xfrm>
          <a:off x="228600" y="8828307"/>
          <a:ext cx="1147877" cy="28847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0x000FE000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8</xdr:col>
      <xdr:colOff>157277</xdr:colOff>
      <xdr:row>30</xdr:row>
      <xdr:rowOff>97974</xdr:rowOff>
    </xdr:from>
    <xdr:to>
      <xdr:col>20</xdr:col>
      <xdr:colOff>595427</xdr:colOff>
      <xdr:row>44</xdr:row>
      <xdr:rowOff>125187</xdr:rowOff>
    </xdr:to>
    <xdr:grpSp>
      <xdr:nvGrpSpPr>
        <xdr:cNvPr id="36" name="群組 35"/>
        <xdr:cNvGrpSpPr/>
      </xdr:nvGrpSpPr>
      <xdr:grpSpPr>
        <a:xfrm>
          <a:off x="5034077" y="6098724"/>
          <a:ext cx="7753350" cy="2827563"/>
          <a:chOff x="4815254" y="4665785"/>
          <a:chExt cx="6354414" cy="2368059"/>
        </a:xfrm>
      </xdr:grpSpPr>
      <xdr:sp macro="" textlink="">
        <xdr:nvSpPr>
          <xdr:cNvPr id="37" name="矩形 36"/>
          <xdr:cNvSpPr/>
        </xdr:nvSpPr>
        <xdr:spPr bwMode="auto">
          <a:xfrm>
            <a:off x="5672750" y="4769929"/>
            <a:ext cx="4035423" cy="659321"/>
          </a:xfrm>
          <a:prstGeom prst="rect">
            <a:avLst/>
          </a:prstGeom>
          <a:solidFill>
            <a:schemeClr val="accent1">
              <a:lumMod val="60000"/>
              <a:lumOff val="4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000">
                <a:effectLst/>
                <a:latin typeface="Arial" charset="0"/>
              </a:rPr>
              <a:t>FT calibration</a:t>
            </a:r>
            <a:r>
              <a:rPr lang="en-US" altLang="zh-TW" sz="2000" baseline="0">
                <a:effectLst/>
                <a:latin typeface="Arial" charset="0"/>
              </a:rPr>
              <a:t> data</a:t>
            </a:r>
            <a:endParaRPr kumimoji="1" lang="zh-TW" altLang="en-US" sz="2000" b="0" i="0" u="none" strike="noStrike" cap="none" normalizeH="0" baseline="0">
              <a:ln>
                <a:noFill/>
              </a:ln>
              <a:solidFill>
                <a:schemeClr val="tx1"/>
              </a:solidFill>
              <a:effectLst/>
              <a:latin typeface="Arial" charset="0"/>
            </a:endParaRPr>
          </a:p>
        </xdr:txBody>
      </xdr:sp>
      <xdr:sp macro="" textlink="">
        <xdr:nvSpPr>
          <xdr:cNvPr id="38" name="矩形 37"/>
          <xdr:cNvSpPr/>
        </xdr:nvSpPr>
        <xdr:spPr bwMode="auto">
          <a:xfrm>
            <a:off x="5693266" y="5515810"/>
            <a:ext cx="4035423" cy="659321"/>
          </a:xfrm>
          <a:prstGeom prst="rect">
            <a:avLst/>
          </a:prstGeom>
          <a:solidFill>
            <a:schemeClr val="accent2">
              <a:lumMod val="40000"/>
              <a:lumOff val="6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000" b="0" i="0" u="none" strike="noStrike" cap="none" normalizeH="0" baseline="0">
                <a:ln>
                  <a:noFill/>
                </a:ln>
                <a:solidFill>
                  <a:schemeClr val="tx1"/>
                </a:solidFill>
                <a:effectLst/>
                <a:latin typeface="Arial" charset="0"/>
              </a:rPr>
              <a:t>Security key</a:t>
            </a:r>
            <a:endParaRPr kumimoji="1" lang="zh-TW" altLang="en-US" sz="2000" b="0" i="0" u="none" strike="noStrike" cap="none" normalizeH="0" baseline="0">
              <a:ln>
                <a:noFill/>
              </a:ln>
              <a:solidFill>
                <a:schemeClr val="tx1"/>
              </a:solidFill>
              <a:effectLst/>
              <a:latin typeface="Arial" charset="0"/>
            </a:endParaRPr>
          </a:p>
        </xdr:txBody>
      </xdr:sp>
      <xdr:sp macro="" textlink="">
        <xdr:nvSpPr>
          <xdr:cNvPr id="39" name="矩形 38"/>
          <xdr:cNvSpPr/>
        </xdr:nvSpPr>
        <xdr:spPr bwMode="auto">
          <a:xfrm>
            <a:off x="5706454" y="6283672"/>
            <a:ext cx="4035423" cy="659321"/>
          </a:xfrm>
          <a:prstGeom prst="rect">
            <a:avLst/>
          </a:prstGeom>
          <a:solidFill>
            <a:schemeClr val="accent4">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000" b="0" i="0" u="none" strike="noStrike" cap="none" normalizeH="0" baseline="0">
                <a:ln>
                  <a:noFill/>
                </a:ln>
                <a:solidFill>
                  <a:schemeClr val="tx1"/>
                </a:solidFill>
                <a:effectLst/>
                <a:latin typeface="Arial" charset="0"/>
              </a:rPr>
              <a:t>MAC Id</a:t>
            </a:r>
            <a:endParaRPr kumimoji="1" lang="zh-TW" altLang="en-US" sz="2000" b="0" i="0" u="none" strike="noStrike" cap="none" normalizeH="0" baseline="0">
              <a:ln>
                <a:noFill/>
              </a:ln>
              <a:solidFill>
                <a:schemeClr val="tx1"/>
              </a:solidFill>
              <a:effectLst/>
              <a:latin typeface="Arial" charset="0"/>
            </a:endParaRPr>
          </a:p>
        </xdr:txBody>
      </xdr:sp>
      <xdr:sp macro="" textlink="">
        <xdr:nvSpPr>
          <xdr:cNvPr id="40" name="文字方塊 6"/>
          <xdr:cNvSpPr txBox="1"/>
        </xdr:nvSpPr>
        <xdr:spPr>
          <a:xfrm>
            <a:off x="4815254" y="4665785"/>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0x00000000</a:t>
            </a:r>
            <a:endParaRPr lang="zh-TW" altLang="en-US" sz="1200">
              <a:latin typeface="Arial" panose="020B0604020202020204" pitchFamily="34" charset="0"/>
              <a:cs typeface="Arial" panose="020B0604020202020204" pitchFamily="34" charset="0"/>
            </a:endParaRPr>
          </a:p>
        </xdr:txBody>
      </xdr:sp>
      <xdr:sp macro="" textlink="">
        <xdr:nvSpPr>
          <xdr:cNvPr id="41" name="文字方塊 6"/>
          <xdr:cNvSpPr txBox="1"/>
        </xdr:nvSpPr>
        <xdr:spPr>
          <a:xfrm>
            <a:off x="4835770" y="5287108"/>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0x000003FF</a:t>
            </a:r>
            <a:endParaRPr lang="zh-TW" altLang="en-US" sz="1200">
              <a:latin typeface="Arial" panose="020B0604020202020204" pitchFamily="34" charset="0"/>
              <a:cs typeface="Arial" panose="020B0604020202020204" pitchFamily="34" charset="0"/>
            </a:endParaRPr>
          </a:p>
        </xdr:txBody>
      </xdr:sp>
      <xdr:sp macro="" textlink="">
        <xdr:nvSpPr>
          <xdr:cNvPr id="42" name="文字方塊 6"/>
          <xdr:cNvSpPr txBox="1"/>
        </xdr:nvSpPr>
        <xdr:spPr>
          <a:xfrm>
            <a:off x="4834305" y="543950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0x00001000</a:t>
            </a:r>
            <a:endParaRPr lang="zh-TW" altLang="en-US" sz="1200">
              <a:latin typeface="Arial" panose="020B0604020202020204" pitchFamily="34" charset="0"/>
              <a:cs typeface="Arial" panose="020B0604020202020204" pitchFamily="34" charset="0"/>
            </a:endParaRPr>
          </a:p>
        </xdr:txBody>
      </xdr:sp>
      <xdr:sp macro="" textlink="">
        <xdr:nvSpPr>
          <xdr:cNvPr id="43" name="文字方塊 6"/>
          <xdr:cNvSpPr txBox="1"/>
        </xdr:nvSpPr>
        <xdr:spPr>
          <a:xfrm>
            <a:off x="4847493" y="6046176"/>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0x000000FF</a:t>
            </a:r>
            <a:endParaRPr lang="zh-TW" altLang="en-US" sz="1200">
              <a:latin typeface="Arial" panose="020B0604020202020204" pitchFamily="34" charset="0"/>
              <a:cs typeface="Arial" panose="020B0604020202020204" pitchFamily="34" charset="0"/>
            </a:endParaRPr>
          </a:p>
        </xdr:txBody>
      </xdr:sp>
      <xdr:sp macro="" textlink="">
        <xdr:nvSpPr>
          <xdr:cNvPr id="44" name="文字方塊 6"/>
          <xdr:cNvSpPr txBox="1"/>
        </xdr:nvSpPr>
        <xdr:spPr>
          <a:xfrm>
            <a:off x="4860681" y="624253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0x00001100</a:t>
            </a:r>
            <a:endParaRPr lang="zh-TW" altLang="en-US" sz="1200">
              <a:latin typeface="Arial" panose="020B0604020202020204" pitchFamily="34" charset="0"/>
              <a:cs typeface="Arial" panose="020B0604020202020204" pitchFamily="34" charset="0"/>
            </a:endParaRPr>
          </a:p>
        </xdr:txBody>
      </xdr:sp>
      <xdr:sp macro="" textlink="">
        <xdr:nvSpPr>
          <xdr:cNvPr id="45" name="文字方塊 6"/>
          <xdr:cNvSpPr txBox="1"/>
        </xdr:nvSpPr>
        <xdr:spPr>
          <a:xfrm>
            <a:off x="4838700" y="679205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0x000013FF</a:t>
            </a:r>
            <a:endParaRPr lang="zh-TW" altLang="en-US" sz="1200">
              <a:latin typeface="Arial" panose="020B0604020202020204" pitchFamily="34" charset="0"/>
              <a:cs typeface="Arial" panose="020B0604020202020204" pitchFamily="34" charset="0"/>
            </a:endParaRPr>
          </a:p>
        </xdr:txBody>
      </xdr:sp>
      <xdr:sp macro="" textlink="">
        <xdr:nvSpPr>
          <xdr:cNvPr id="46" name="矩形 45"/>
          <xdr:cNvSpPr/>
        </xdr:nvSpPr>
        <xdr:spPr bwMode="auto">
          <a:xfrm>
            <a:off x="9684728" y="4928193"/>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1k bytes</a:t>
            </a:r>
            <a:endParaRPr kumimoji="1" lang="zh-TW" altLang="en-US" sz="1600" b="1" i="0" u="none" strike="noStrike" cap="none" normalizeH="0" baseline="0">
              <a:ln>
                <a:noFill/>
              </a:ln>
              <a:solidFill>
                <a:schemeClr val="tx1"/>
              </a:solidFill>
              <a:effectLst/>
              <a:latin typeface="+mn-lt"/>
            </a:endParaRPr>
          </a:p>
        </xdr:txBody>
      </xdr:sp>
      <xdr:sp macro="" textlink="">
        <xdr:nvSpPr>
          <xdr:cNvPr id="47" name="矩形 46"/>
          <xdr:cNvSpPr/>
        </xdr:nvSpPr>
        <xdr:spPr bwMode="auto">
          <a:xfrm>
            <a:off x="9712570" y="5622785"/>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256 bytes</a:t>
            </a:r>
            <a:endParaRPr kumimoji="1" lang="zh-TW" altLang="en-US" sz="1600" b="1" i="0" u="none" strike="noStrike" cap="none" normalizeH="0" baseline="0">
              <a:ln>
                <a:noFill/>
              </a:ln>
              <a:solidFill>
                <a:schemeClr val="tx1"/>
              </a:solidFill>
              <a:effectLst/>
              <a:latin typeface="+mn-lt"/>
            </a:endParaRPr>
          </a:p>
        </xdr:txBody>
      </xdr:sp>
      <xdr:sp macro="" textlink="">
        <xdr:nvSpPr>
          <xdr:cNvPr id="48" name="矩形 47"/>
          <xdr:cNvSpPr/>
        </xdr:nvSpPr>
        <xdr:spPr bwMode="auto">
          <a:xfrm>
            <a:off x="9754107" y="6459839"/>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767 bytes</a:t>
            </a:r>
            <a:endParaRPr kumimoji="1" lang="zh-TW" altLang="en-US" sz="1600" b="1" i="0" u="none" strike="noStrike" cap="none" normalizeH="0" baseline="0">
              <a:ln>
                <a:noFill/>
              </a:ln>
              <a:solidFill>
                <a:schemeClr val="tx1"/>
              </a:solidFill>
              <a:effectLst/>
              <a:latin typeface="+mn-lt"/>
            </a:endParaRPr>
          </a:p>
        </xdr:txBody>
      </xdr:sp>
    </xdr:grpSp>
    <xdr:clientData/>
  </xdr:twoCellAnchor>
  <xdr:twoCellAnchor>
    <xdr:from>
      <xdr:col>9</xdr:col>
      <xdr:colOff>324330</xdr:colOff>
      <xdr:row>27</xdr:row>
      <xdr:rowOff>125187</xdr:rowOff>
    </xdr:from>
    <xdr:to>
      <xdr:col>18</xdr:col>
      <xdr:colOff>3166</xdr:colOff>
      <xdr:row>29</xdr:row>
      <xdr:rowOff>147720</xdr:rowOff>
    </xdr:to>
    <xdr:sp macro="" textlink="">
      <xdr:nvSpPr>
        <xdr:cNvPr id="49" name="矩形 48"/>
        <xdr:cNvSpPr/>
      </xdr:nvSpPr>
      <xdr:spPr bwMode="auto">
        <a:xfrm>
          <a:off x="5810730" y="5525862"/>
          <a:ext cx="5165236" cy="422583"/>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400" b="1" i="0" u="none" strike="noStrike" cap="none" normalizeH="0" baseline="0">
              <a:ln>
                <a:noFill/>
              </a:ln>
              <a:solidFill>
                <a:schemeClr val="tx1"/>
              </a:solidFill>
              <a:effectLst/>
              <a:latin typeface="+mn-lt"/>
            </a:rPr>
            <a:t>RT582 security page flash layout</a:t>
          </a:r>
          <a:endParaRPr kumimoji="1" lang="zh-TW" altLang="en-US" sz="2400" b="1" i="0" u="none" strike="noStrike" cap="none" normalizeH="0" baseline="0">
            <a:ln>
              <a:noFill/>
            </a:ln>
            <a:solidFill>
              <a:schemeClr val="tx1"/>
            </a:solidFill>
            <a:effectLst/>
            <a:latin typeface="+mn-lt"/>
          </a:endParaRPr>
        </a:p>
      </xdr:txBody>
    </xdr:sp>
    <xdr:clientData/>
  </xdr:twoCellAnchor>
  <xdr:twoCellAnchor>
    <xdr:from>
      <xdr:col>2</xdr:col>
      <xdr:colOff>148235</xdr:colOff>
      <xdr:row>55</xdr:row>
      <xdr:rowOff>166480</xdr:rowOff>
    </xdr:from>
    <xdr:to>
      <xdr:col>7</xdr:col>
      <xdr:colOff>101178</xdr:colOff>
      <xdr:row>57</xdr:row>
      <xdr:rowOff>186905</xdr:rowOff>
    </xdr:to>
    <xdr:sp macro="" textlink="">
      <xdr:nvSpPr>
        <xdr:cNvPr id="50" name="矩形 49"/>
        <xdr:cNvSpPr/>
      </xdr:nvSpPr>
      <xdr:spPr bwMode="auto">
        <a:xfrm>
          <a:off x="1367435" y="11167855"/>
          <a:ext cx="3000943" cy="420475"/>
        </a:xfrm>
        <a:prstGeom prst="rect">
          <a:avLst/>
        </a:prstGeom>
        <a:solidFill>
          <a:srgbClr val="00B05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000">
              <a:effectLst/>
              <a:latin typeface="+mn-lt"/>
            </a:rPr>
            <a:t>Bootloader (32K)</a:t>
          </a:r>
          <a:endParaRPr kumimoji="1" lang="zh-TW" altLang="en-US" sz="2000" b="0" i="0" u="none" strike="noStrike" cap="none" normalizeH="0" baseline="0">
            <a:ln>
              <a:noFill/>
            </a:ln>
            <a:solidFill>
              <a:schemeClr val="tx1"/>
            </a:solidFill>
            <a:effectLst/>
            <a:latin typeface="+mn-lt"/>
          </a:endParaRPr>
        </a:p>
      </xdr:txBody>
    </xdr:sp>
    <xdr:clientData/>
  </xdr:twoCellAnchor>
  <xdr:twoCellAnchor>
    <xdr:from>
      <xdr:col>2</xdr:col>
      <xdr:colOff>140235</xdr:colOff>
      <xdr:row>57</xdr:row>
      <xdr:rowOff>194594</xdr:rowOff>
    </xdr:from>
    <xdr:to>
      <xdr:col>7</xdr:col>
      <xdr:colOff>109652</xdr:colOff>
      <xdr:row>70</xdr:row>
      <xdr:rowOff>148325</xdr:rowOff>
    </xdr:to>
    <xdr:sp macro="" textlink="">
      <xdr:nvSpPr>
        <xdr:cNvPr id="51" name="矩形 50"/>
        <xdr:cNvSpPr/>
      </xdr:nvSpPr>
      <xdr:spPr bwMode="auto">
        <a:xfrm>
          <a:off x="1359435" y="11596019"/>
          <a:ext cx="3017417" cy="2554056"/>
        </a:xfrm>
        <a:prstGeom prst="rect">
          <a:avLst/>
        </a:prstGeom>
        <a:solidFill>
          <a:schemeClr val="accent2">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fontAlgn="base"/>
          <a:r>
            <a:rPr kumimoji="1" lang="en-US" altLang="zh-TW" sz="2000" kern="1200">
              <a:solidFill>
                <a:schemeClr val="tx1"/>
              </a:solidFill>
              <a:effectLst/>
              <a:latin typeface="+mn-lt"/>
              <a:ea typeface="+mn-ea"/>
              <a:cs typeface="+mn-cs"/>
            </a:rPr>
            <a:t>Application (2008K)</a:t>
          </a:r>
          <a:endParaRPr lang="zh-TW" altLang="zh-TW" sz="2000">
            <a:effectLst/>
            <a:latin typeface="+mn-lt"/>
          </a:endParaRPr>
        </a:p>
        <a:p>
          <a:pPr rtl="0" fontAlgn="base"/>
          <a:endParaRPr lang="zh-TW" altLang="zh-TW" sz="1400">
            <a:effectLst/>
          </a:endParaRPr>
        </a:p>
      </xdr:txBody>
    </xdr:sp>
    <xdr:clientData/>
  </xdr:twoCellAnchor>
  <xdr:twoCellAnchor>
    <xdr:from>
      <xdr:col>0</xdr:col>
      <xdr:colOff>321592</xdr:colOff>
      <xdr:row>55</xdr:row>
      <xdr:rowOff>45457</xdr:rowOff>
    </xdr:from>
    <xdr:to>
      <xdr:col>2</xdr:col>
      <xdr:colOff>147598</xdr:colOff>
      <xdr:row>56</xdr:row>
      <xdr:rowOff>87217</xdr:rowOff>
    </xdr:to>
    <xdr:sp macro="" textlink="">
      <xdr:nvSpPr>
        <xdr:cNvPr id="52" name="文字方塊 6"/>
        <xdr:cNvSpPr txBox="1"/>
      </xdr:nvSpPr>
      <xdr:spPr>
        <a:xfrm>
          <a:off x="321592" y="11046832"/>
          <a:ext cx="1045206" cy="24178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330662</xdr:colOff>
      <xdr:row>57</xdr:row>
      <xdr:rowOff>61423</xdr:rowOff>
    </xdr:from>
    <xdr:to>
      <xdr:col>2</xdr:col>
      <xdr:colOff>185852</xdr:colOff>
      <xdr:row>58</xdr:row>
      <xdr:rowOff>77562</xdr:rowOff>
    </xdr:to>
    <xdr:sp macro="" textlink="">
      <xdr:nvSpPr>
        <xdr:cNvPr id="53" name="文字方塊 7"/>
        <xdr:cNvSpPr txBox="1"/>
      </xdr:nvSpPr>
      <xdr:spPr>
        <a:xfrm>
          <a:off x="330662" y="11462848"/>
          <a:ext cx="1074390" cy="21616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0x00008000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307771</xdr:colOff>
      <xdr:row>74</xdr:row>
      <xdr:rowOff>57001</xdr:rowOff>
    </xdr:from>
    <xdr:to>
      <xdr:col>2</xdr:col>
      <xdr:colOff>290626</xdr:colOff>
      <xdr:row>75</xdr:row>
      <xdr:rowOff>115662</xdr:rowOff>
    </xdr:to>
    <xdr:sp macro="" textlink="">
      <xdr:nvSpPr>
        <xdr:cNvPr id="54" name="文字方塊 9"/>
        <xdr:cNvSpPr txBox="1"/>
      </xdr:nvSpPr>
      <xdr:spPr>
        <a:xfrm>
          <a:off x="307771" y="14858851"/>
          <a:ext cx="1202055" cy="25868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0x001FFFFF</a:t>
          </a:r>
          <a:endParaRPr lang="zh-TW" altLang="en-US" sz="1200">
            <a:latin typeface="Arial" panose="020B0604020202020204" pitchFamily="34" charset="0"/>
            <a:cs typeface="Arial" panose="020B0604020202020204" pitchFamily="34" charset="0"/>
          </a:endParaRPr>
        </a:p>
      </xdr:txBody>
    </xdr:sp>
    <xdr:clientData/>
  </xdr:twoCellAnchor>
  <xdr:twoCellAnchor>
    <xdr:from>
      <xdr:col>0</xdr:col>
      <xdr:colOff>519919</xdr:colOff>
      <xdr:row>53</xdr:row>
      <xdr:rowOff>76200</xdr:rowOff>
    </xdr:from>
    <xdr:to>
      <xdr:col>8</xdr:col>
      <xdr:colOff>374447</xdr:colOff>
      <xdr:row>55</xdr:row>
      <xdr:rowOff>117469</xdr:rowOff>
    </xdr:to>
    <xdr:sp macro="" textlink="">
      <xdr:nvSpPr>
        <xdr:cNvPr id="55" name="矩形 54"/>
        <xdr:cNvSpPr/>
      </xdr:nvSpPr>
      <xdr:spPr bwMode="auto">
        <a:xfrm>
          <a:off x="519919" y="10677525"/>
          <a:ext cx="4731328" cy="441319"/>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400" b="1" kern="1200">
              <a:solidFill>
                <a:schemeClr val="tx1"/>
              </a:solidFill>
              <a:effectLst/>
              <a:latin typeface="+mn-lt"/>
              <a:ea typeface="+mn-ea"/>
              <a:cs typeface="+mn-cs"/>
            </a:rPr>
            <a:t>RT583 programe</a:t>
          </a:r>
          <a:r>
            <a:rPr lang="en-US" altLang="zh-TW" sz="2400" b="1" kern="1200" baseline="0">
              <a:solidFill>
                <a:schemeClr val="tx1"/>
              </a:solidFill>
              <a:effectLst/>
              <a:latin typeface="+mn-lt"/>
              <a:ea typeface="+mn-ea"/>
              <a:cs typeface="+mn-cs"/>
            </a:rPr>
            <a:t> flash layout</a:t>
          </a:r>
          <a:r>
            <a:rPr lang="en-US" altLang="zh-TW" sz="2400" b="1" kern="1200">
              <a:solidFill>
                <a:schemeClr val="tx1"/>
              </a:solidFill>
              <a:effectLst/>
              <a:latin typeface="+mn-lt"/>
              <a:ea typeface="+mn-ea"/>
              <a:cs typeface="+mn-cs"/>
            </a:rPr>
            <a:t> </a:t>
          </a:r>
          <a:endParaRPr kumimoji="1" lang="zh-TW" altLang="en-US" sz="2400" b="0" i="0" u="none" strike="noStrike" cap="none" normalizeH="0" baseline="0">
            <a:ln>
              <a:noFill/>
            </a:ln>
            <a:solidFill>
              <a:schemeClr val="tx1"/>
            </a:solidFill>
            <a:effectLst>
              <a:outerShdw blurRad="38100" dist="38100" dir="2700000" algn="tl">
                <a:srgbClr val="000000">
                  <a:alpha val="43137"/>
                </a:srgbClr>
              </a:outerShdw>
            </a:effectLst>
            <a:latin typeface="+mn-lt"/>
            <a:cs typeface="Arial" panose="020B0604020202020204" pitchFamily="34" charset="0"/>
          </a:endParaRPr>
        </a:p>
      </xdr:txBody>
    </xdr:sp>
    <xdr:clientData/>
  </xdr:twoCellAnchor>
  <xdr:twoCellAnchor>
    <xdr:from>
      <xdr:col>0</xdr:col>
      <xdr:colOff>289910</xdr:colOff>
      <xdr:row>72</xdr:row>
      <xdr:rowOff>24005</xdr:rowOff>
    </xdr:from>
    <xdr:to>
      <xdr:col>2</xdr:col>
      <xdr:colOff>223952</xdr:colOff>
      <xdr:row>73</xdr:row>
      <xdr:rowOff>115662</xdr:rowOff>
    </xdr:to>
    <xdr:sp macro="" textlink="">
      <xdr:nvSpPr>
        <xdr:cNvPr id="56" name="文字方塊 9"/>
        <xdr:cNvSpPr txBox="1"/>
      </xdr:nvSpPr>
      <xdr:spPr>
        <a:xfrm>
          <a:off x="289910" y="14425805"/>
          <a:ext cx="1153242" cy="2916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0x001FF000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2</xdr:col>
      <xdr:colOff>114785</xdr:colOff>
      <xdr:row>72</xdr:row>
      <xdr:rowOff>185987</xdr:rowOff>
    </xdr:from>
    <xdr:to>
      <xdr:col>7</xdr:col>
      <xdr:colOff>109653</xdr:colOff>
      <xdr:row>75</xdr:row>
      <xdr:rowOff>14076</xdr:rowOff>
    </xdr:to>
    <xdr:sp macro="" textlink="">
      <xdr:nvSpPr>
        <xdr:cNvPr id="57" name="矩形 56"/>
        <xdr:cNvSpPr/>
      </xdr:nvSpPr>
      <xdr:spPr bwMode="auto">
        <a:xfrm>
          <a:off x="1333985" y="14587787"/>
          <a:ext cx="3042868" cy="428164"/>
        </a:xfrm>
        <a:prstGeom prst="rect">
          <a:avLst/>
        </a:prstGeom>
        <a:solidFill>
          <a:srgbClr val="00B0F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fontAlgn="auto" latinLnBrk="0" hangingPunct="1"/>
          <a:r>
            <a:rPr lang="en-US" altLang="zh-TW" sz="2000" b="1">
              <a:effectLst/>
              <a:latin typeface="+mn-lt"/>
            </a:rPr>
            <a:t>Mp</a:t>
          </a:r>
          <a:r>
            <a:rPr lang="en-US" altLang="zh-TW" sz="2000" b="1" baseline="0">
              <a:effectLst/>
              <a:latin typeface="+mn-lt"/>
            </a:rPr>
            <a:t> sector Info(4k)</a:t>
          </a:r>
          <a:endParaRPr lang="zh-TW" altLang="zh-TW" sz="2000" b="1">
            <a:effectLst/>
            <a:latin typeface="+mn-lt"/>
          </a:endParaRPr>
        </a:p>
      </xdr:txBody>
    </xdr:sp>
    <xdr:clientData/>
  </xdr:twoCellAnchor>
  <xdr:twoCellAnchor>
    <xdr:from>
      <xdr:col>2</xdr:col>
      <xdr:colOff>114783</xdr:colOff>
      <xdr:row>70</xdr:row>
      <xdr:rowOff>156145</xdr:rowOff>
    </xdr:from>
    <xdr:to>
      <xdr:col>7</xdr:col>
      <xdr:colOff>109652</xdr:colOff>
      <xdr:row>72</xdr:row>
      <xdr:rowOff>184259</xdr:rowOff>
    </xdr:to>
    <xdr:sp macro="" textlink="">
      <xdr:nvSpPr>
        <xdr:cNvPr id="58" name="矩形 57"/>
        <xdr:cNvSpPr/>
      </xdr:nvSpPr>
      <xdr:spPr bwMode="auto">
        <a:xfrm>
          <a:off x="1333983" y="14157895"/>
          <a:ext cx="3042869" cy="428164"/>
        </a:xfrm>
        <a:prstGeom prst="rect">
          <a:avLst/>
        </a:prstGeom>
        <a:solidFill>
          <a:srgbClr val="FFC000"/>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fontAlgn="auto" latinLnBrk="0" hangingPunct="1"/>
          <a:r>
            <a:rPr lang="en-US" altLang="zh-TW" sz="2000" kern="1200">
              <a:solidFill>
                <a:schemeClr val="tx1"/>
              </a:solidFill>
              <a:effectLst/>
              <a:latin typeface="+mn-lt"/>
              <a:ea typeface="+mn-ea"/>
              <a:cs typeface="+mn-cs"/>
            </a:rPr>
            <a:t>Calibration Data(4K)</a:t>
          </a:r>
          <a:endParaRPr lang="zh-TW" altLang="zh-TW" sz="2000">
            <a:effectLst/>
          </a:endParaRPr>
        </a:p>
      </xdr:txBody>
    </xdr:sp>
    <xdr:clientData/>
  </xdr:twoCellAnchor>
  <xdr:twoCellAnchor>
    <xdr:from>
      <xdr:col>0</xdr:col>
      <xdr:colOff>276225</xdr:colOff>
      <xdr:row>69</xdr:row>
      <xdr:rowOff>198657</xdr:rowOff>
    </xdr:from>
    <xdr:to>
      <xdr:col>2</xdr:col>
      <xdr:colOff>204902</xdr:colOff>
      <xdr:row>71</xdr:row>
      <xdr:rowOff>87086</xdr:rowOff>
    </xdr:to>
    <xdr:sp macro="" textlink="">
      <xdr:nvSpPr>
        <xdr:cNvPr id="59" name="文字方塊 9"/>
        <xdr:cNvSpPr txBox="1"/>
      </xdr:nvSpPr>
      <xdr:spPr>
        <a:xfrm>
          <a:off x="276225" y="14000382"/>
          <a:ext cx="1147877" cy="28847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0x001FE000</a:t>
          </a:r>
          <a:endParaRPr lang="zh-TW" altLang="en-US" sz="1200">
            <a:latin typeface="Arial" panose="020B0604020202020204" pitchFamily="34" charset="0"/>
            <a:cs typeface="Arial" panose="020B0604020202020204" pitchFamily="34" charset="0"/>
          </a:endParaRPr>
        </a:p>
      </xdr:txBody>
    </xdr:sp>
    <xdr:clientData/>
  </xdr:twoCellAnchor>
  <xdr:twoCellAnchor>
    <xdr:from>
      <xdr:col>8</xdr:col>
      <xdr:colOff>204902</xdr:colOff>
      <xdr:row>56</xdr:row>
      <xdr:rowOff>69399</xdr:rowOff>
    </xdr:from>
    <xdr:to>
      <xdr:col>21</xdr:col>
      <xdr:colOff>33452</xdr:colOff>
      <xdr:row>70</xdr:row>
      <xdr:rowOff>96612</xdr:rowOff>
    </xdr:to>
    <xdr:grpSp>
      <xdr:nvGrpSpPr>
        <xdr:cNvPr id="60" name="群組 59"/>
        <xdr:cNvGrpSpPr/>
      </xdr:nvGrpSpPr>
      <xdr:grpSpPr>
        <a:xfrm>
          <a:off x="5081702" y="11270799"/>
          <a:ext cx="7753350" cy="2827563"/>
          <a:chOff x="4815254" y="4665785"/>
          <a:chExt cx="6354414" cy="2368059"/>
        </a:xfrm>
      </xdr:grpSpPr>
      <xdr:sp macro="" textlink="">
        <xdr:nvSpPr>
          <xdr:cNvPr id="61" name="矩形 60"/>
          <xdr:cNvSpPr/>
        </xdr:nvSpPr>
        <xdr:spPr bwMode="auto">
          <a:xfrm>
            <a:off x="5672750" y="4769929"/>
            <a:ext cx="4035423" cy="659321"/>
          </a:xfrm>
          <a:prstGeom prst="rect">
            <a:avLst/>
          </a:prstGeom>
          <a:solidFill>
            <a:schemeClr val="accent1">
              <a:lumMod val="60000"/>
              <a:lumOff val="4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lang="en-US" altLang="zh-TW" sz="2000">
                <a:effectLst/>
                <a:latin typeface="Arial" charset="0"/>
              </a:rPr>
              <a:t>FT calibration</a:t>
            </a:r>
            <a:r>
              <a:rPr lang="en-US" altLang="zh-TW" sz="2000" baseline="0">
                <a:effectLst/>
                <a:latin typeface="Arial" charset="0"/>
              </a:rPr>
              <a:t> data</a:t>
            </a:r>
            <a:endParaRPr kumimoji="1" lang="zh-TW" altLang="en-US" sz="2000" b="0" i="0" u="none" strike="noStrike" cap="none" normalizeH="0" baseline="0">
              <a:ln>
                <a:noFill/>
              </a:ln>
              <a:solidFill>
                <a:schemeClr val="tx1"/>
              </a:solidFill>
              <a:effectLst/>
              <a:latin typeface="Arial" charset="0"/>
            </a:endParaRPr>
          </a:p>
        </xdr:txBody>
      </xdr:sp>
      <xdr:sp macro="" textlink="">
        <xdr:nvSpPr>
          <xdr:cNvPr id="62" name="矩形 61"/>
          <xdr:cNvSpPr/>
        </xdr:nvSpPr>
        <xdr:spPr bwMode="auto">
          <a:xfrm>
            <a:off x="5693266" y="5515810"/>
            <a:ext cx="4035423" cy="659321"/>
          </a:xfrm>
          <a:prstGeom prst="rect">
            <a:avLst/>
          </a:prstGeom>
          <a:solidFill>
            <a:schemeClr val="accent2">
              <a:lumMod val="40000"/>
              <a:lumOff val="6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000" b="0" i="0" u="none" strike="noStrike" cap="none" normalizeH="0" baseline="0">
                <a:ln>
                  <a:noFill/>
                </a:ln>
                <a:solidFill>
                  <a:schemeClr val="tx1"/>
                </a:solidFill>
                <a:effectLst/>
                <a:latin typeface="Arial" charset="0"/>
              </a:rPr>
              <a:t>Security key</a:t>
            </a:r>
            <a:endParaRPr kumimoji="1" lang="zh-TW" altLang="en-US" sz="2000" b="0" i="0" u="none" strike="noStrike" cap="none" normalizeH="0" baseline="0">
              <a:ln>
                <a:noFill/>
              </a:ln>
              <a:solidFill>
                <a:schemeClr val="tx1"/>
              </a:solidFill>
              <a:effectLst/>
              <a:latin typeface="Arial" charset="0"/>
            </a:endParaRPr>
          </a:p>
        </xdr:txBody>
      </xdr:sp>
      <xdr:sp macro="" textlink="">
        <xdr:nvSpPr>
          <xdr:cNvPr id="63" name="矩形 62"/>
          <xdr:cNvSpPr/>
        </xdr:nvSpPr>
        <xdr:spPr bwMode="auto">
          <a:xfrm>
            <a:off x="5706454" y="6283672"/>
            <a:ext cx="4035423" cy="659321"/>
          </a:xfrm>
          <a:prstGeom prst="rect">
            <a:avLst/>
          </a:prstGeom>
          <a:solidFill>
            <a:schemeClr val="accent4">
              <a:lumMod val="20000"/>
              <a:lumOff val="80000"/>
            </a:schemeClr>
          </a:solidFill>
          <a:ln w="9525" cap="flat" cmpd="sng" algn="ctr">
            <a:solidFill>
              <a:schemeClr val="tx1"/>
            </a:solid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000" b="0" i="0" u="none" strike="noStrike" cap="none" normalizeH="0" baseline="0">
                <a:ln>
                  <a:noFill/>
                </a:ln>
                <a:solidFill>
                  <a:schemeClr val="tx1"/>
                </a:solidFill>
                <a:effectLst/>
                <a:latin typeface="Arial" charset="0"/>
              </a:rPr>
              <a:t>MAC Id</a:t>
            </a:r>
            <a:endParaRPr kumimoji="1" lang="zh-TW" altLang="en-US" sz="2000" b="0" i="0" u="none" strike="noStrike" cap="none" normalizeH="0" baseline="0">
              <a:ln>
                <a:noFill/>
              </a:ln>
              <a:solidFill>
                <a:schemeClr val="tx1"/>
              </a:solidFill>
              <a:effectLst/>
              <a:latin typeface="Arial" charset="0"/>
            </a:endParaRPr>
          </a:p>
        </xdr:txBody>
      </xdr:sp>
      <xdr:sp macro="" textlink="">
        <xdr:nvSpPr>
          <xdr:cNvPr id="64" name="文字方塊 6"/>
          <xdr:cNvSpPr txBox="1"/>
        </xdr:nvSpPr>
        <xdr:spPr>
          <a:xfrm>
            <a:off x="4815254" y="4665785"/>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0x00000000</a:t>
            </a:r>
            <a:endParaRPr lang="zh-TW" altLang="en-US" sz="1200">
              <a:latin typeface="Arial" panose="020B0604020202020204" pitchFamily="34" charset="0"/>
              <a:cs typeface="Arial" panose="020B0604020202020204" pitchFamily="34" charset="0"/>
            </a:endParaRPr>
          </a:p>
        </xdr:txBody>
      </xdr:sp>
      <xdr:sp macro="" textlink="">
        <xdr:nvSpPr>
          <xdr:cNvPr id="65" name="文字方塊 6"/>
          <xdr:cNvSpPr txBox="1"/>
        </xdr:nvSpPr>
        <xdr:spPr>
          <a:xfrm>
            <a:off x="4835770" y="5287108"/>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0x000003FF</a:t>
            </a:r>
            <a:endParaRPr lang="zh-TW" altLang="en-US" sz="1200">
              <a:latin typeface="Arial" panose="020B0604020202020204" pitchFamily="34" charset="0"/>
              <a:cs typeface="Arial" panose="020B0604020202020204" pitchFamily="34" charset="0"/>
            </a:endParaRPr>
          </a:p>
        </xdr:txBody>
      </xdr:sp>
      <xdr:sp macro="" textlink="">
        <xdr:nvSpPr>
          <xdr:cNvPr id="66" name="文字方塊 6"/>
          <xdr:cNvSpPr txBox="1"/>
        </xdr:nvSpPr>
        <xdr:spPr>
          <a:xfrm>
            <a:off x="4834305" y="543950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0x00001000</a:t>
            </a:r>
            <a:endParaRPr lang="zh-TW" altLang="en-US" sz="1200">
              <a:latin typeface="Arial" panose="020B0604020202020204" pitchFamily="34" charset="0"/>
              <a:cs typeface="Arial" panose="020B0604020202020204" pitchFamily="34" charset="0"/>
            </a:endParaRPr>
          </a:p>
        </xdr:txBody>
      </xdr:sp>
      <xdr:sp macro="" textlink="">
        <xdr:nvSpPr>
          <xdr:cNvPr id="67" name="文字方塊 6"/>
          <xdr:cNvSpPr txBox="1"/>
        </xdr:nvSpPr>
        <xdr:spPr>
          <a:xfrm>
            <a:off x="4847493" y="6046176"/>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0x000000FF</a:t>
            </a:r>
            <a:endParaRPr lang="zh-TW" altLang="en-US" sz="1200">
              <a:latin typeface="Arial" panose="020B0604020202020204" pitchFamily="34" charset="0"/>
              <a:cs typeface="Arial" panose="020B0604020202020204" pitchFamily="34" charset="0"/>
            </a:endParaRPr>
          </a:p>
        </xdr:txBody>
      </xdr:sp>
      <xdr:sp macro="" textlink="">
        <xdr:nvSpPr>
          <xdr:cNvPr id="68" name="文字方塊 6"/>
          <xdr:cNvSpPr txBox="1"/>
        </xdr:nvSpPr>
        <xdr:spPr>
          <a:xfrm>
            <a:off x="4860681" y="624253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0x00001100</a:t>
            </a:r>
            <a:endParaRPr lang="zh-TW" altLang="en-US" sz="1200">
              <a:latin typeface="Arial" panose="020B0604020202020204" pitchFamily="34" charset="0"/>
              <a:cs typeface="Arial" panose="020B0604020202020204" pitchFamily="34" charset="0"/>
            </a:endParaRPr>
          </a:p>
        </xdr:txBody>
      </xdr:sp>
      <xdr:sp macro="" textlink="">
        <xdr:nvSpPr>
          <xdr:cNvPr id="69" name="文字方塊 6"/>
          <xdr:cNvSpPr txBox="1"/>
        </xdr:nvSpPr>
        <xdr:spPr>
          <a:xfrm>
            <a:off x="4838700" y="6792057"/>
            <a:ext cx="1025769" cy="24178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1200">
                <a:latin typeface="Arial" panose="020B0604020202020204" pitchFamily="34" charset="0"/>
                <a:cs typeface="Arial" panose="020B0604020202020204" pitchFamily="34" charset="0"/>
              </a:rPr>
              <a:t>0x000013FF</a:t>
            </a:r>
            <a:endParaRPr lang="zh-TW" altLang="en-US" sz="1200">
              <a:latin typeface="Arial" panose="020B0604020202020204" pitchFamily="34" charset="0"/>
              <a:cs typeface="Arial" panose="020B0604020202020204" pitchFamily="34" charset="0"/>
            </a:endParaRPr>
          </a:p>
        </xdr:txBody>
      </xdr:sp>
      <xdr:sp macro="" textlink="">
        <xdr:nvSpPr>
          <xdr:cNvPr id="70" name="矩形 69"/>
          <xdr:cNvSpPr/>
        </xdr:nvSpPr>
        <xdr:spPr bwMode="auto">
          <a:xfrm>
            <a:off x="9684728" y="4928193"/>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1k bytes</a:t>
            </a:r>
            <a:endParaRPr kumimoji="1" lang="zh-TW" altLang="en-US" sz="1600" b="1" i="0" u="none" strike="noStrike" cap="none" normalizeH="0" baseline="0">
              <a:ln>
                <a:noFill/>
              </a:ln>
              <a:solidFill>
                <a:schemeClr val="tx1"/>
              </a:solidFill>
              <a:effectLst/>
              <a:latin typeface="+mn-lt"/>
            </a:endParaRPr>
          </a:p>
        </xdr:txBody>
      </xdr:sp>
      <xdr:sp macro="" textlink="">
        <xdr:nvSpPr>
          <xdr:cNvPr id="71" name="矩形 70"/>
          <xdr:cNvSpPr/>
        </xdr:nvSpPr>
        <xdr:spPr bwMode="auto">
          <a:xfrm>
            <a:off x="9712570" y="5622785"/>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256 bytes</a:t>
            </a:r>
            <a:endParaRPr kumimoji="1" lang="zh-TW" altLang="en-US" sz="1600" b="1" i="0" u="none" strike="noStrike" cap="none" normalizeH="0" baseline="0">
              <a:ln>
                <a:noFill/>
              </a:ln>
              <a:solidFill>
                <a:schemeClr val="tx1"/>
              </a:solidFill>
              <a:effectLst/>
              <a:latin typeface="+mn-lt"/>
            </a:endParaRPr>
          </a:p>
        </xdr:txBody>
      </xdr:sp>
      <xdr:sp macro="" textlink="">
        <xdr:nvSpPr>
          <xdr:cNvPr id="72" name="矩形 71"/>
          <xdr:cNvSpPr/>
        </xdr:nvSpPr>
        <xdr:spPr bwMode="auto">
          <a:xfrm>
            <a:off x="9754107" y="6459839"/>
            <a:ext cx="1415561" cy="310558"/>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1600" b="1" i="0" u="none" strike="noStrike" cap="none" normalizeH="0" baseline="0">
                <a:ln>
                  <a:noFill/>
                </a:ln>
                <a:solidFill>
                  <a:schemeClr val="tx1"/>
                </a:solidFill>
                <a:effectLst/>
                <a:latin typeface="+mn-lt"/>
              </a:rPr>
              <a:t>size : 767 bytes</a:t>
            </a:r>
            <a:endParaRPr kumimoji="1" lang="zh-TW" altLang="en-US" sz="1600" b="1" i="0" u="none" strike="noStrike" cap="none" normalizeH="0" baseline="0">
              <a:ln>
                <a:noFill/>
              </a:ln>
              <a:solidFill>
                <a:schemeClr val="tx1"/>
              </a:solidFill>
              <a:effectLst/>
              <a:latin typeface="+mn-lt"/>
            </a:endParaRPr>
          </a:p>
        </xdr:txBody>
      </xdr:sp>
    </xdr:grpSp>
    <xdr:clientData/>
  </xdr:twoCellAnchor>
  <xdr:twoCellAnchor>
    <xdr:from>
      <xdr:col>9</xdr:col>
      <xdr:colOff>371955</xdr:colOff>
      <xdr:row>53</xdr:row>
      <xdr:rowOff>96612</xdr:rowOff>
    </xdr:from>
    <xdr:to>
      <xdr:col>18</xdr:col>
      <xdr:colOff>50791</xdr:colOff>
      <xdr:row>55</xdr:row>
      <xdr:rowOff>119145</xdr:rowOff>
    </xdr:to>
    <xdr:sp macro="" textlink="">
      <xdr:nvSpPr>
        <xdr:cNvPr id="73" name="矩形 72"/>
        <xdr:cNvSpPr/>
      </xdr:nvSpPr>
      <xdr:spPr bwMode="auto">
        <a:xfrm>
          <a:off x="5858355" y="10697937"/>
          <a:ext cx="5165236" cy="422583"/>
        </a:xfrm>
        <a:prstGeom prst="rect">
          <a:avLst/>
        </a:prstGeom>
        <a:noFill/>
        <a:ln w="9525" cap="flat" cmpd="sng" algn="ctr">
          <a:noFill/>
          <a:prstDash val="solid"/>
          <a:round/>
          <a:headEnd type="none" w="med" len="med"/>
          <a:tailEnd type="none" w="med" len="med"/>
        </a:ln>
        <a:effectLst/>
        <a:ex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base" latinLnBrk="0" hangingPunct="1">
            <a:lnSpc>
              <a:spcPct val="100000"/>
            </a:lnSpc>
            <a:spcBef>
              <a:spcPct val="0"/>
            </a:spcBef>
            <a:spcAft>
              <a:spcPct val="0"/>
            </a:spcAft>
            <a:buClrTx/>
            <a:buSzTx/>
            <a:buFontTx/>
            <a:buNone/>
            <a:tabLst/>
          </a:pPr>
          <a:r>
            <a:rPr kumimoji="1" lang="en-US" altLang="zh-TW" sz="2400" b="1" i="0" u="none" strike="noStrike" cap="none" normalizeH="0" baseline="0">
              <a:ln>
                <a:noFill/>
              </a:ln>
              <a:solidFill>
                <a:schemeClr val="tx1"/>
              </a:solidFill>
              <a:effectLst/>
              <a:latin typeface="+mn-lt"/>
            </a:rPr>
            <a:t>RT583 security page flash layout</a:t>
          </a:r>
          <a:endParaRPr kumimoji="1" lang="zh-TW" altLang="en-US" sz="2400" b="1" i="0" u="none" strike="noStrike" cap="none" normalizeH="0" baseline="0">
            <a:ln>
              <a:noFill/>
            </a:ln>
            <a:solidFill>
              <a:schemeClr val="tx1"/>
            </a:solidFill>
            <a:effectLst/>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4</xdr:row>
      <xdr:rowOff>38100</xdr:rowOff>
    </xdr:from>
    <xdr:to>
      <xdr:col>25</xdr:col>
      <xdr:colOff>295275</xdr:colOff>
      <xdr:row>30</xdr:row>
      <xdr:rowOff>76200</xdr:rowOff>
    </xdr:to>
    <xdr:pic>
      <xdr:nvPicPr>
        <xdr:cNvPr id="3" name="圖片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838200"/>
          <a:ext cx="15478125" cy="523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276225</xdr:colOff>
      <xdr:row>1</xdr:row>
      <xdr:rowOff>104775</xdr:rowOff>
    </xdr:from>
    <xdr:to>
      <xdr:col>19</xdr:col>
      <xdr:colOff>487355</xdr:colOff>
      <xdr:row>3</xdr:row>
      <xdr:rowOff>171840</xdr:rowOff>
    </xdr:to>
    <xdr:sp macro="" textlink="">
      <xdr:nvSpPr>
        <xdr:cNvPr id="4" name="標題 1"/>
        <xdr:cNvSpPr txBox="1">
          <a:spLocks/>
        </xdr:cNvSpPr>
      </xdr:nvSpPr>
      <xdr:spPr>
        <a:xfrm>
          <a:off x="3324225" y="304800"/>
          <a:ext cx="8745530" cy="467115"/>
        </a:xfrm>
        <a:prstGeom prst="rect">
          <a:avLst/>
        </a:prstGeom>
      </xdr:spPr>
      <xdr:txBody>
        <a:bodyPr vert="horz" wrap="square" lIns="36000" tIns="36000" rIns="36000" bIns="3600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TW" sz="2400" b="1" spc="-38">
              <a:solidFill>
                <a:srgbClr val="3D5663"/>
              </a:solidFill>
              <a:latin typeface="Calibri" panose="020F0502020204030204" pitchFamily="34" charset="0"/>
              <a:cs typeface="Calibri" panose="020F0502020204030204" pitchFamily="34" charset="0"/>
            </a:rPr>
            <a:t>PMU Register default setting without calibration data</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1323975</xdr:colOff>
      <xdr:row>15</xdr:row>
      <xdr:rowOff>152400</xdr:rowOff>
    </xdr:from>
    <xdr:to>
      <xdr:col>20</xdr:col>
      <xdr:colOff>19050</xdr:colOff>
      <xdr:row>61</xdr:row>
      <xdr:rowOff>57150</xdr:rowOff>
    </xdr:to>
    <xdr:pic>
      <xdr:nvPicPr>
        <xdr:cNvPr id="3" name="圖片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3819525"/>
          <a:ext cx="11010900" cy="876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xdr:colOff>
      <xdr:row>16</xdr:row>
      <xdr:rowOff>0</xdr:rowOff>
    </xdr:from>
    <xdr:to>
      <xdr:col>7</xdr:col>
      <xdr:colOff>962025</xdr:colOff>
      <xdr:row>61</xdr:row>
      <xdr:rowOff>114300</xdr:rowOff>
    </xdr:to>
    <xdr:pic>
      <xdr:nvPicPr>
        <xdr:cNvPr id="5" name="圖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3857625"/>
          <a:ext cx="10915650" cy="878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topLeftCell="A10" zoomScale="115" zoomScaleNormal="115" workbookViewId="0">
      <selection activeCell="D38" sqref="D38"/>
    </sheetView>
  </sheetViews>
  <sheetFormatPr defaultColWidth="8.85546875" defaultRowHeight="15" x14ac:dyDescent="0.25"/>
  <cols>
    <col min="1" max="1" width="8.85546875" style="6"/>
    <col min="2" max="2" width="12" style="6" bestFit="1" customWidth="1"/>
    <col min="3" max="3" width="11" style="1" bestFit="1" customWidth="1"/>
    <col min="4" max="4" width="19.28515625" style="6" customWidth="1"/>
    <col min="5" max="5" width="15.140625" style="6" hidden="1" customWidth="1"/>
    <col min="6" max="6" width="23" style="6" bestFit="1" customWidth="1"/>
    <col min="7" max="7" width="21.140625" style="6" hidden="1" customWidth="1"/>
    <col min="8" max="8" width="32.42578125" style="6" bestFit="1" customWidth="1"/>
    <col min="9" max="9" width="25" style="6" bestFit="1" customWidth="1"/>
    <col min="10" max="11" width="8.85546875" style="6"/>
    <col min="12" max="12" width="21.140625" style="6" customWidth="1"/>
    <col min="13" max="13" width="25.85546875" style="6" customWidth="1"/>
    <col min="14" max="14" width="30.140625" style="6" customWidth="1"/>
    <col min="15" max="15" width="32.7109375" style="6" bestFit="1" customWidth="1"/>
    <col min="16" max="16" width="48.28515625" style="6" customWidth="1"/>
    <col min="17" max="16384" width="8.85546875" style="6"/>
  </cols>
  <sheetData>
    <row r="1" spans="1:12" x14ac:dyDescent="0.25">
      <c r="A1" s="28"/>
      <c r="B1" s="28"/>
      <c r="C1" s="29"/>
      <c r="D1" s="28"/>
      <c r="E1" s="28"/>
      <c r="F1" s="28"/>
      <c r="G1" s="28"/>
      <c r="H1" s="28"/>
      <c r="I1" s="28"/>
      <c r="J1" s="28"/>
      <c r="K1" s="28"/>
      <c r="L1" s="28"/>
    </row>
    <row r="2" spans="1:12" ht="15" customHeight="1" x14ac:dyDescent="0.25">
      <c r="A2" s="28"/>
      <c r="B2" s="28"/>
      <c r="C2" s="29"/>
      <c r="D2" s="28"/>
      <c r="E2" s="28"/>
      <c r="F2" s="28"/>
      <c r="G2" s="28"/>
      <c r="H2" s="28"/>
      <c r="I2" s="28"/>
      <c r="J2" s="28"/>
      <c r="K2" s="28"/>
      <c r="L2" s="28"/>
    </row>
    <row r="3" spans="1:12" ht="15" customHeight="1" x14ac:dyDescent="0.25">
      <c r="A3" s="28"/>
      <c r="B3" s="28"/>
      <c r="C3" s="29"/>
      <c r="D3" s="28"/>
      <c r="E3" s="28"/>
      <c r="F3" s="28"/>
      <c r="G3" s="28"/>
      <c r="H3" s="28"/>
      <c r="I3" s="28"/>
      <c r="J3" s="28"/>
      <c r="K3" s="28"/>
      <c r="L3" s="28"/>
    </row>
    <row r="4" spans="1:12" ht="15" customHeight="1" x14ac:dyDescent="0.25">
      <c r="A4" s="28"/>
      <c r="B4" s="28"/>
      <c r="C4" s="29"/>
      <c r="D4" s="28"/>
      <c r="E4" s="28"/>
      <c r="F4" s="28"/>
      <c r="G4" s="28"/>
      <c r="H4" s="28"/>
      <c r="I4" s="28"/>
      <c r="J4" s="28"/>
      <c r="K4" s="28"/>
      <c r="L4" s="28"/>
    </row>
    <row r="5" spans="1:12" ht="15" customHeight="1" x14ac:dyDescent="0.25">
      <c r="A5" s="28"/>
      <c r="B5" s="28"/>
      <c r="C5" s="29"/>
      <c r="D5" s="28"/>
      <c r="E5" s="28"/>
      <c r="F5" s="28"/>
      <c r="G5" s="28"/>
      <c r="H5" s="28"/>
      <c r="I5" s="28"/>
      <c r="J5" s="28"/>
      <c r="K5" s="28"/>
      <c r="L5" s="28"/>
    </row>
    <row r="6" spans="1:12" ht="15" customHeight="1" x14ac:dyDescent="0.25">
      <c r="A6" s="28"/>
      <c r="B6" s="28"/>
      <c r="C6" s="29"/>
      <c r="D6" s="28"/>
      <c r="E6" s="28"/>
      <c r="F6" s="28"/>
      <c r="G6" s="28"/>
      <c r="H6" s="28"/>
      <c r="I6" s="28"/>
      <c r="J6" s="28"/>
      <c r="K6" s="28"/>
      <c r="L6" s="28"/>
    </row>
    <row r="7" spans="1:12" ht="15" customHeight="1" x14ac:dyDescent="0.25">
      <c r="A7" s="28"/>
      <c r="B7" s="28"/>
      <c r="C7" s="29"/>
      <c r="D7" s="28"/>
      <c r="E7" s="28"/>
      <c r="F7" s="28"/>
      <c r="G7" s="28"/>
      <c r="H7" s="28"/>
      <c r="I7" s="28"/>
      <c r="J7" s="28"/>
      <c r="K7" s="28"/>
      <c r="L7" s="28"/>
    </row>
    <row r="8" spans="1:12" ht="15" customHeight="1" x14ac:dyDescent="0.25">
      <c r="A8" s="28"/>
      <c r="I8" s="28"/>
      <c r="J8" s="28"/>
      <c r="K8" s="28"/>
      <c r="L8" s="28"/>
    </row>
    <row r="9" spans="1:12" ht="15" customHeight="1" x14ac:dyDescent="0.25">
      <c r="A9" s="28"/>
      <c r="I9" s="28"/>
      <c r="J9" s="28"/>
      <c r="K9" s="28"/>
      <c r="L9" s="28"/>
    </row>
    <row r="10" spans="1:12" x14ac:dyDescent="0.25">
      <c r="A10" s="28"/>
      <c r="B10" s="28"/>
      <c r="C10" s="29"/>
      <c r="D10" s="28"/>
      <c r="E10" s="28"/>
      <c r="F10" s="28"/>
      <c r="G10" s="28"/>
      <c r="H10" s="28"/>
      <c r="I10" s="28"/>
      <c r="J10" s="28"/>
      <c r="K10" s="28"/>
      <c r="L10" s="28"/>
    </row>
    <row r="11" spans="1:12" x14ac:dyDescent="0.25">
      <c r="A11" s="28"/>
      <c r="B11" s="28"/>
      <c r="C11" s="29"/>
      <c r="D11" s="28"/>
      <c r="E11" s="28"/>
      <c r="F11" s="28"/>
      <c r="G11" s="28"/>
      <c r="H11" s="28"/>
      <c r="I11" s="28"/>
      <c r="J11" s="28"/>
      <c r="K11" s="28"/>
      <c r="L11" s="28"/>
    </row>
    <row r="12" spans="1:12" x14ac:dyDescent="0.25">
      <c r="A12" s="28"/>
      <c r="B12" s="28"/>
      <c r="C12" s="29"/>
      <c r="D12" s="28"/>
      <c r="E12" s="28"/>
      <c r="F12" s="28"/>
      <c r="G12" s="28"/>
      <c r="H12" s="28"/>
      <c r="I12" s="28"/>
      <c r="J12" s="28"/>
      <c r="K12" s="28"/>
      <c r="L12" s="28"/>
    </row>
    <row r="13" spans="1:12" x14ac:dyDescent="0.25">
      <c r="A13" s="28"/>
      <c r="B13" s="28"/>
      <c r="C13" s="29"/>
      <c r="D13" s="28"/>
      <c r="E13" s="28"/>
      <c r="F13" s="28"/>
      <c r="G13" s="28"/>
      <c r="H13" s="28"/>
      <c r="I13" s="28"/>
      <c r="J13" s="28"/>
      <c r="K13" s="28"/>
      <c r="L13" s="28"/>
    </row>
    <row r="14" spans="1:12" x14ac:dyDescent="0.25">
      <c r="A14" s="28"/>
      <c r="B14" s="28"/>
      <c r="C14" s="29"/>
      <c r="D14" s="28"/>
      <c r="E14" s="28"/>
      <c r="F14" s="28"/>
      <c r="G14" s="28"/>
      <c r="H14" s="28"/>
      <c r="I14" s="28"/>
      <c r="J14" s="28"/>
      <c r="K14" s="28"/>
      <c r="L14" s="28"/>
    </row>
    <row r="15" spans="1:12" x14ac:dyDescent="0.25">
      <c r="A15" s="28"/>
      <c r="B15" s="28"/>
      <c r="C15" s="29"/>
      <c r="D15" s="28"/>
      <c r="E15" s="28"/>
      <c r="F15" s="28"/>
      <c r="G15" s="28"/>
      <c r="H15" s="28"/>
      <c r="I15" s="28"/>
      <c r="J15" s="28"/>
      <c r="K15" s="28"/>
      <c r="L15" s="28"/>
    </row>
    <row r="16" spans="1:12" x14ac:dyDescent="0.25">
      <c r="A16" s="28"/>
      <c r="B16" s="28"/>
      <c r="C16" s="29"/>
      <c r="D16" s="28"/>
      <c r="E16" s="28"/>
      <c r="F16" s="28"/>
      <c r="G16" s="28"/>
      <c r="H16" s="28"/>
      <c r="I16" s="28"/>
      <c r="J16" s="28"/>
      <c r="K16" s="28"/>
      <c r="L16" s="28"/>
    </row>
    <row r="17" spans="1:12" x14ac:dyDescent="0.25">
      <c r="A17" s="28"/>
      <c r="B17" s="28"/>
      <c r="C17" s="29"/>
      <c r="D17" s="28"/>
      <c r="E17" s="28"/>
      <c r="F17" s="28"/>
      <c r="G17" s="28"/>
      <c r="H17" s="28"/>
      <c r="I17" s="28"/>
      <c r="J17" s="28"/>
      <c r="K17" s="28"/>
      <c r="L17" s="28"/>
    </row>
    <row r="18" spans="1:12" x14ac:dyDescent="0.25">
      <c r="A18" s="28"/>
      <c r="B18" s="28"/>
      <c r="C18" s="29"/>
      <c r="D18" s="28"/>
      <c r="E18" s="28"/>
      <c r="F18" s="28"/>
      <c r="G18" s="28"/>
      <c r="H18" s="28"/>
      <c r="I18" s="28"/>
      <c r="J18" s="28"/>
      <c r="K18" s="28"/>
      <c r="L18" s="28"/>
    </row>
    <row r="19" spans="1:12" x14ac:dyDescent="0.25">
      <c r="A19" s="28"/>
      <c r="B19" s="28"/>
      <c r="C19" s="29"/>
      <c r="D19" s="28"/>
      <c r="E19" s="28"/>
      <c r="F19" s="28"/>
      <c r="G19" s="28"/>
      <c r="H19" s="28"/>
      <c r="I19" s="28"/>
      <c r="J19" s="28"/>
      <c r="K19" s="28"/>
      <c r="L19" s="28"/>
    </row>
    <row r="20" spans="1:12" x14ac:dyDescent="0.25">
      <c r="A20" s="28"/>
      <c r="B20" s="28"/>
      <c r="C20" s="29"/>
      <c r="D20" s="28"/>
      <c r="E20" s="28"/>
      <c r="F20" s="28"/>
      <c r="G20" s="28"/>
      <c r="H20" s="28"/>
      <c r="I20" s="28"/>
      <c r="J20" s="28"/>
      <c r="K20" s="28"/>
      <c r="L20" s="28"/>
    </row>
    <row r="21" spans="1:12" x14ac:dyDescent="0.25">
      <c r="A21" s="28"/>
      <c r="B21" s="28"/>
      <c r="C21" s="29"/>
      <c r="D21" s="28"/>
      <c r="E21" s="28"/>
      <c r="F21" s="28"/>
      <c r="G21" s="28"/>
      <c r="H21" s="28"/>
      <c r="I21" s="28"/>
      <c r="J21" s="28"/>
      <c r="K21" s="28"/>
      <c r="L21" s="28"/>
    </row>
    <row r="22" spans="1:12" x14ac:dyDescent="0.25">
      <c r="A22" s="28"/>
      <c r="B22" s="28"/>
      <c r="C22" s="29"/>
      <c r="D22" s="28"/>
      <c r="E22" s="28"/>
      <c r="F22" s="28"/>
      <c r="G22" s="28"/>
      <c r="H22" s="28"/>
      <c r="I22" s="28"/>
      <c r="J22" s="28"/>
      <c r="K22" s="28"/>
      <c r="L22" s="28"/>
    </row>
    <row r="23" spans="1:12" x14ac:dyDescent="0.25">
      <c r="A23" s="28"/>
      <c r="B23" s="28"/>
      <c r="C23" s="29"/>
      <c r="D23" s="28"/>
      <c r="E23" s="28"/>
      <c r="F23" s="28"/>
      <c r="G23" s="28"/>
      <c r="H23" s="28"/>
      <c r="I23" s="28"/>
      <c r="J23" s="28"/>
      <c r="K23" s="28"/>
      <c r="L23" s="28"/>
    </row>
    <row r="24" spans="1:12" x14ac:dyDescent="0.25">
      <c r="A24" s="28"/>
      <c r="B24" s="28"/>
      <c r="C24" s="29"/>
      <c r="D24" s="28"/>
      <c r="E24" s="28"/>
      <c r="F24" s="28"/>
      <c r="G24" s="28"/>
      <c r="H24" s="28"/>
      <c r="I24" s="28"/>
      <c r="J24" s="28"/>
      <c r="K24" s="28"/>
      <c r="L24" s="28"/>
    </row>
    <row r="25" spans="1:12" x14ac:dyDescent="0.25">
      <c r="A25" s="28"/>
      <c r="B25" s="28"/>
      <c r="C25" s="29"/>
      <c r="D25" s="28"/>
      <c r="E25" s="28"/>
      <c r="F25" s="28"/>
      <c r="G25" s="28"/>
      <c r="H25" s="28"/>
      <c r="I25" s="28"/>
      <c r="J25" s="28"/>
      <c r="K25" s="28"/>
      <c r="L25" s="28"/>
    </row>
    <row r="26" spans="1:12" x14ac:dyDescent="0.25">
      <c r="A26" s="28"/>
      <c r="B26" s="28"/>
      <c r="C26" s="29"/>
      <c r="D26" s="28"/>
      <c r="E26" s="28"/>
      <c r="F26" s="28"/>
      <c r="G26" s="28"/>
      <c r="H26" s="28"/>
      <c r="I26" s="28"/>
      <c r="J26" s="28"/>
      <c r="K26" s="28"/>
      <c r="L26" s="28"/>
    </row>
    <row r="27" spans="1:12" x14ac:dyDescent="0.25">
      <c r="A27" s="28"/>
      <c r="B27" s="28"/>
      <c r="C27" s="29"/>
      <c r="D27" s="28"/>
      <c r="E27" s="28"/>
      <c r="F27" s="28"/>
      <c r="G27" s="28"/>
      <c r="H27" s="28"/>
      <c r="I27" s="28"/>
      <c r="J27" s="28"/>
      <c r="K27" s="28"/>
      <c r="L27" s="28"/>
    </row>
    <row r="28" spans="1:12" x14ac:dyDescent="0.25">
      <c r="A28" s="28"/>
      <c r="B28" s="28"/>
      <c r="C28" s="29"/>
      <c r="D28" s="28"/>
      <c r="E28" s="28"/>
      <c r="F28" s="28"/>
      <c r="G28" s="28"/>
      <c r="H28" s="28"/>
      <c r="I28" s="28"/>
      <c r="J28" s="28"/>
      <c r="K28" s="28"/>
      <c r="L28" s="28"/>
    </row>
    <row r="29" spans="1:12" x14ac:dyDescent="0.25">
      <c r="A29" s="28"/>
      <c r="B29" s="28"/>
      <c r="C29" s="29"/>
      <c r="D29" s="28"/>
      <c r="E29" s="28"/>
      <c r="F29" s="28"/>
      <c r="G29" s="28"/>
      <c r="H29" s="28"/>
      <c r="I29" s="28"/>
      <c r="J29" s="28"/>
      <c r="K29" s="28"/>
      <c r="L29" s="28"/>
    </row>
    <row r="30" spans="1:12" x14ac:dyDescent="0.25">
      <c r="A30" s="28"/>
      <c r="B30" s="28"/>
      <c r="C30" s="29"/>
      <c r="D30" s="28"/>
      <c r="E30" s="28"/>
      <c r="F30" s="28"/>
      <c r="G30" s="28"/>
      <c r="H30" s="28"/>
      <c r="I30" s="28"/>
      <c r="J30" s="28"/>
      <c r="K30" s="28"/>
      <c r="L30" s="28"/>
    </row>
    <row r="31" spans="1:12" x14ac:dyDescent="0.25">
      <c r="A31" s="28"/>
      <c r="B31" s="28"/>
      <c r="C31" s="29"/>
      <c r="D31" s="28"/>
      <c r="E31" s="28"/>
      <c r="F31" s="28"/>
      <c r="G31" s="28"/>
      <c r="H31" s="28"/>
      <c r="I31" s="28"/>
      <c r="J31" s="28"/>
      <c r="K31" s="28"/>
      <c r="L31" s="28"/>
    </row>
    <row r="32" spans="1:12" x14ac:dyDescent="0.25">
      <c r="A32" s="28"/>
      <c r="B32" s="28"/>
      <c r="C32" s="29"/>
      <c r="D32" s="28"/>
      <c r="E32" s="28"/>
      <c r="F32" s="28"/>
      <c r="G32" s="28"/>
      <c r="H32" s="28"/>
      <c r="I32" s="28"/>
      <c r="J32" s="28"/>
      <c r="K32" s="28"/>
      <c r="L32" s="28"/>
    </row>
    <row r="33" spans="1:12" x14ac:dyDescent="0.25">
      <c r="A33" s="28"/>
      <c r="B33" s="28"/>
      <c r="C33" s="29"/>
      <c r="D33" s="28"/>
      <c r="E33" s="28"/>
      <c r="F33" s="28"/>
      <c r="G33" s="28"/>
      <c r="H33" s="28"/>
      <c r="I33" s="28"/>
      <c r="J33" s="28"/>
      <c r="K33" s="28"/>
      <c r="L33" s="28"/>
    </row>
    <row r="34" spans="1:12" x14ac:dyDescent="0.25">
      <c r="A34" s="28"/>
      <c r="B34" s="28"/>
      <c r="C34" s="29"/>
      <c r="D34" s="28"/>
      <c r="E34" s="28"/>
      <c r="F34" s="28"/>
      <c r="G34" s="28"/>
      <c r="H34" s="28"/>
      <c r="I34" s="28"/>
      <c r="J34" s="28"/>
      <c r="K34" s="28"/>
      <c r="L34" s="28"/>
    </row>
    <row r="35" spans="1:12" x14ac:dyDescent="0.25">
      <c r="A35" s="28"/>
      <c r="B35" s="28"/>
      <c r="C35" s="29"/>
      <c r="D35" s="28"/>
      <c r="E35" s="28"/>
      <c r="F35" s="28"/>
      <c r="G35" s="28"/>
      <c r="H35" s="28"/>
      <c r="I35" s="28"/>
      <c r="J35" s="28"/>
      <c r="K35" s="28"/>
      <c r="L35" s="28"/>
    </row>
    <row r="36" spans="1:12" x14ac:dyDescent="0.25">
      <c r="A36" s="28"/>
      <c r="B36" s="28"/>
      <c r="C36" s="29"/>
      <c r="D36" s="28"/>
      <c r="E36" s="28"/>
      <c r="F36" s="28"/>
      <c r="G36" s="28"/>
      <c r="H36" s="28"/>
      <c r="I36" s="28"/>
      <c r="J36" s="28"/>
      <c r="K36" s="28"/>
      <c r="L36" s="28"/>
    </row>
    <row r="37" spans="1:12" x14ac:dyDescent="0.25">
      <c r="A37" s="28"/>
      <c r="B37" s="28"/>
      <c r="C37" s="29"/>
      <c r="D37" s="28"/>
      <c r="E37" s="28"/>
      <c r="F37" s="28"/>
      <c r="G37" s="28"/>
      <c r="H37" s="28"/>
      <c r="I37" s="28"/>
      <c r="J37" s="28"/>
      <c r="K37" s="28"/>
      <c r="L37" s="28"/>
    </row>
    <row r="38" spans="1:12" x14ac:dyDescent="0.25">
      <c r="A38" s="28"/>
      <c r="B38" s="28"/>
      <c r="C38" s="29"/>
      <c r="D38" s="28"/>
      <c r="E38" s="28"/>
      <c r="F38" s="28"/>
      <c r="G38" s="28"/>
      <c r="H38" s="28"/>
      <c r="I38" s="28"/>
      <c r="J38" s="28"/>
      <c r="K38" s="28"/>
      <c r="L38" s="28"/>
    </row>
    <row r="39" spans="1:12" x14ac:dyDescent="0.25">
      <c r="A39" s="28"/>
      <c r="B39" s="28"/>
      <c r="C39" s="29"/>
      <c r="D39" s="28"/>
      <c r="E39" s="28"/>
      <c r="F39" s="28"/>
      <c r="G39" s="28"/>
      <c r="H39" s="28"/>
      <c r="I39" s="28"/>
      <c r="J39" s="28"/>
      <c r="K39" s="28"/>
      <c r="L39" s="28"/>
    </row>
    <row r="40" spans="1:12" x14ac:dyDescent="0.25">
      <c r="A40" s="28"/>
      <c r="B40" s="28"/>
      <c r="C40" s="29"/>
      <c r="D40" s="28"/>
      <c r="E40" s="28"/>
      <c r="F40" s="28"/>
      <c r="G40" s="28"/>
      <c r="H40" s="28"/>
      <c r="I40" s="28"/>
      <c r="J40" s="28"/>
      <c r="K40" s="28"/>
      <c r="L40" s="28"/>
    </row>
    <row r="41" spans="1:12" x14ac:dyDescent="0.25">
      <c r="A41" s="28"/>
      <c r="B41" s="28"/>
      <c r="C41" s="29"/>
      <c r="D41" s="28"/>
      <c r="E41" s="28"/>
      <c r="F41" s="28"/>
      <c r="G41" s="28"/>
      <c r="H41" s="28"/>
      <c r="I41" s="28"/>
      <c r="J41" s="28"/>
      <c r="K41" s="28"/>
      <c r="L41" s="28"/>
    </row>
    <row r="42" spans="1:12" x14ac:dyDescent="0.25">
      <c r="A42" s="28"/>
      <c r="B42" s="28"/>
      <c r="C42" s="29"/>
      <c r="D42" s="28"/>
      <c r="E42" s="28"/>
      <c r="F42" s="28"/>
      <c r="G42" s="28"/>
      <c r="H42" s="28"/>
      <c r="I42" s="28"/>
      <c r="J42" s="28"/>
      <c r="K42" s="28"/>
      <c r="L42" s="28"/>
    </row>
    <row r="43" spans="1:12" ht="15" customHeight="1" x14ac:dyDescent="0.25">
      <c r="A43" s="28"/>
      <c r="B43" s="28"/>
      <c r="C43" s="28"/>
      <c r="D43" s="28"/>
      <c r="E43" s="28"/>
      <c r="F43" s="28"/>
      <c r="G43" s="28"/>
      <c r="H43" s="28"/>
      <c r="I43" s="28"/>
      <c r="J43" s="28"/>
      <c r="K43" s="28"/>
      <c r="L43" s="28"/>
    </row>
    <row r="44" spans="1:12" ht="15" customHeight="1" x14ac:dyDescent="0.25">
      <c r="A44" s="28"/>
      <c r="B44" s="28"/>
      <c r="C44" s="28"/>
      <c r="D44" s="28"/>
      <c r="E44" s="28"/>
      <c r="F44" s="28"/>
      <c r="G44" s="28"/>
      <c r="H44" s="28"/>
      <c r="I44" s="28"/>
      <c r="J44" s="28"/>
      <c r="K44" s="28"/>
      <c r="L44" s="28"/>
    </row>
    <row r="45" spans="1:12" ht="15" customHeight="1" x14ac:dyDescent="0.25">
      <c r="A45" s="28"/>
      <c r="B45" s="28"/>
      <c r="C45" s="28"/>
      <c r="D45" s="28"/>
      <c r="E45" s="28"/>
      <c r="F45" s="28"/>
      <c r="G45" s="28"/>
      <c r="H45" s="28"/>
      <c r="I45" s="28"/>
      <c r="J45" s="28"/>
      <c r="K45" s="28"/>
      <c r="L45" s="28"/>
    </row>
    <row r="46" spans="1:12" ht="15" customHeight="1" x14ac:dyDescent="0.25">
      <c r="A46" s="28"/>
      <c r="B46" s="28"/>
      <c r="C46" s="28"/>
      <c r="D46" s="28"/>
      <c r="E46" s="28"/>
      <c r="F46" s="28"/>
      <c r="G46" s="28"/>
      <c r="H46" s="28"/>
      <c r="I46" s="28"/>
      <c r="J46" s="28"/>
      <c r="K46" s="28"/>
      <c r="L46" s="28"/>
    </row>
    <row r="47" spans="1:12" ht="15" customHeight="1" x14ac:dyDescent="0.25">
      <c r="A47" s="28"/>
      <c r="B47" s="28"/>
      <c r="C47" s="28"/>
      <c r="D47" s="28"/>
      <c r="E47" s="28"/>
      <c r="F47" s="28"/>
      <c r="G47" s="28"/>
      <c r="H47" s="28"/>
      <c r="I47" s="28"/>
      <c r="J47" s="28"/>
      <c r="K47" s="28"/>
      <c r="L47" s="28"/>
    </row>
    <row r="48" spans="1:12" ht="15" customHeight="1" x14ac:dyDescent="0.25">
      <c r="A48" s="28"/>
      <c r="B48" s="28"/>
      <c r="C48" s="28"/>
      <c r="D48" s="28"/>
      <c r="E48" s="28"/>
      <c r="F48" s="28"/>
      <c r="G48" s="28"/>
      <c r="H48" s="28"/>
      <c r="I48" s="28"/>
      <c r="J48" s="28"/>
      <c r="K48" s="28"/>
      <c r="L48" s="28"/>
    </row>
    <row r="49" spans="1:12" ht="15" customHeight="1" x14ac:dyDescent="0.25">
      <c r="A49" s="28"/>
      <c r="B49" s="28"/>
      <c r="C49" s="28"/>
      <c r="D49" s="28"/>
      <c r="E49" s="28"/>
      <c r="F49" s="28"/>
      <c r="G49" s="28"/>
      <c r="H49" s="28"/>
      <c r="I49" s="28"/>
      <c r="J49" s="28"/>
      <c r="K49" s="28"/>
      <c r="L49" s="28"/>
    </row>
    <row r="50" spans="1:12" ht="15" customHeight="1" x14ac:dyDescent="0.25">
      <c r="A50" s="28"/>
      <c r="B50" s="28"/>
      <c r="C50" s="28"/>
      <c r="D50" s="28"/>
      <c r="E50" s="28"/>
      <c r="F50" s="28"/>
      <c r="G50" s="28"/>
      <c r="H50" s="28"/>
      <c r="I50" s="28"/>
      <c r="J50" s="28"/>
      <c r="K50" s="28"/>
      <c r="L50" s="28"/>
    </row>
    <row r="51" spans="1:12" x14ac:dyDescent="0.25">
      <c r="A51" s="28"/>
      <c r="B51" s="28"/>
      <c r="C51" s="28"/>
      <c r="D51" s="28"/>
      <c r="E51" s="28"/>
      <c r="F51" s="28"/>
      <c r="G51" s="28"/>
      <c r="H51" s="28"/>
      <c r="I51" s="28"/>
      <c r="J51" s="28"/>
      <c r="K51" s="28"/>
      <c r="L51" s="28"/>
    </row>
    <row r="52" spans="1:12" x14ac:dyDescent="0.25">
      <c r="A52" s="28"/>
      <c r="B52" s="28"/>
      <c r="C52" s="28"/>
      <c r="D52" s="28"/>
      <c r="E52" s="28"/>
      <c r="F52" s="28"/>
      <c r="G52" s="28"/>
      <c r="H52" s="28"/>
      <c r="I52" s="28"/>
      <c r="J52" s="28"/>
      <c r="K52" s="28"/>
      <c r="L52" s="28"/>
    </row>
    <row r="53" spans="1:12" x14ac:dyDescent="0.25">
      <c r="A53" s="28"/>
      <c r="B53" s="28"/>
      <c r="C53" s="28"/>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30" zoomScaleNormal="130" workbookViewId="0">
      <selection activeCell="H40" sqref="H40"/>
    </sheetView>
  </sheetViews>
  <sheetFormatPr defaultColWidth="9.140625" defaultRowHeight="15.75" x14ac:dyDescent="0.25"/>
  <cols>
    <col min="1" max="16384" width="9.140625" style="16"/>
  </cols>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34" workbookViewId="0">
      <selection activeCell="J25" sqref="J25"/>
    </sheetView>
  </sheetViews>
  <sheetFormatPr defaultColWidth="9.140625" defaultRowHeight="15.75" x14ac:dyDescent="0.25"/>
  <cols>
    <col min="1" max="16384" width="9.140625" style="16"/>
  </cols>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18"/>
  <sheetViews>
    <sheetView zoomScaleNormal="100" workbookViewId="0">
      <pane xSplit="7" ySplit="1" topLeftCell="H38" activePane="bottomRight" state="frozen"/>
      <selection pane="topRight" activeCell="H1" sqref="H1"/>
      <selection pane="bottomLeft" activeCell="A2" sqref="A2"/>
      <selection pane="bottomRight" activeCell="A10" sqref="A10"/>
    </sheetView>
  </sheetViews>
  <sheetFormatPr defaultColWidth="8.85546875" defaultRowHeight="15" x14ac:dyDescent="0.25"/>
  <cols>
    <col min="1" max="1" width="18.7109375" style="1" customWidth="1"/>
    <col min="2" max="3" width="17.140625" style="1" customWidth="1"/>
    <col min="4" max="4" width="21.28515625" style="1" bestFit="1" customWidth="1"/>
    <col min="5" max="5" width="17.140625" style="1" customWidth="1"/>
    <col min="6" max="6" width="17.5703125" style="1" bestFit="1" customWidth="1"/>
    <col min="7" max="7" width="17.140625" style="1" customWidth="1"/>
    <col min="8" max="8" width="12.5703125" style="1" bestFit="1" customWidth="1"/>
    <col min="9" max="9" width="18.7109375" style="1" customWidth="1"/>
    <col min="10" max="10" width="46.140625" style="1" bestFit="1" customWidth="1"/>
    <col min="11" max="11" width="33.5703125" style="1" bestFit="1" customWidth="1"/>
    <col min="12" max="12" width="46.28515625" style="1" bestFit="1" customWidth="1"/>
    <col min="13" max="13" width="52.5703125" style="1" bestFit="1" customWidth="1"/>
    <col min="14" max="72" width="18.7109375" style="1" customWidth="1"/>
    <col min="73" max="16384" width="8.85546875" style="1"/>
  </cols>
  <sheetData>
    <row r="1" spans="1:19" customFormat="1" ht="18.75" x14ac:dyDescent="0.4">
      <c r="A1" s="80" t="s">
        <v>362</v>
      </c>
      <c r="B1" s="81"/>
      <c r="C1" s="81"/>
      <c r="D1" s="81"/>
      <c r="E1" s="81"/>
      <c r="F1" s="81"/>
      <c r="G1" s="81"/>
      <c r="H1" s="81"/>
      <c r="I1" s="81"/>
      <c r="J1" s="81"/>
      <c r="K1" s="81"/>
      <c r="L1" s="81"/>
      <c r="M1" s="81"/>
      <c r="N1" s="81"/>
      <c r="O1" s="81"/>
      <c r="P1" s="81"/>
      <c r="Q1" s="81"/>
      <c r="R1" s="82"/>
    </row>
    <row r="3" spans="1:19" ht="18" customHeight="1" x14ac:dyDescent="0.25">
      <c r="B3" s="74" t="s">
        <v>173</v>
      </c>
      <c r="C3" s="74" t="s">
        <v>172</v>
      </c>
      <c r="D3" s="76" t="s">
        <v>8</v>
      </c>
      <c r="E3" s="74" t="s">
        <v>50</v>
      </c>
      <c r="F3" s="74" t="s">
        <v>51</v>
      </c>
      <c r="G3" s="74" t="s">
        <v>52</v>
      </c>
      <c r="H3" s="12" t="s">
        <v>53</v>
      </c>
      <c r="I3" s="12" t="s">
        <v>54</v>
      </c>
      <c r="J3" s="12" t="s">
        <v>55</v>
      </c>
      <c r="K3" s="12" t="s">
        <v>56</v>
      </c>
      <c r="L3" s="12" t="s">
        <v>14</v>
      </c>
      <c r="M3" s="12" t="s">
        <v>57</v>
      </c>
      <c r="N3" s="12" t="s">
        <v>12</v>
      </c>
      <c r="O3" s="12" t="s">
        <v>15</v>
      </c>
      <c r="P3" s="12" t="s">
        <v>58</v>
      </c>
      <c r="Q3" s="12" t="s">
        <v>16</v>
      </c>
      <c r="R3" s="12" t="s">
        <v>59</v>
      </c>
      <c r="S3" s="12" t="s">
        <v>49</v>
      </c>
    </row>
    <row r="4" spans="1:19" ht="18" customHeight="1" x14ac:dyDescent="0.25">
      <c r="B4" s="75"/>
      <c r="C4" s="75"/>
      <c r="D4" s="76"/>
      <c r="E4" s="77"/>
      <c r="F4" s="77"/>
      <c r="G4" s="77"/>
      <c r="H4" s="4" t="s">
        <v>0</v>
      </c>
      <c r="I4" s="11" t="s">
        <v>60</v>
      </c>
      <c r="J4" s="11" t="s">
        <v>61</v>
      </c>
      <c r="K4" s="11" t="s">
        <v>62</v>
      </c>
      <c r="L4" s="11" t="s">
        <v>63</v>
      </c>
      <c r="M4" s="4" t="s">
        <v>64</v>
      </c>
      <c r="N4" s="11" t="s">
        <v>65</v>
      </c>
      <c r="O4" s="11" t="s">
        <v>66</v>
      </c>
      <c r="P4" s="4" t="s">
        <v>67</v>
      </c>
      <c r="Q4" s="4" t="s">
        <v>68</v>
      </c>
      <c r="R4" s="11" t="s">
        <v>69</v>
      </c>
      <c r="S4" s="11" t="s">
        <v>70</v>
      </c>
    </row>
    <row r="5" spans="1:19" ht="18" customHeight="1" x14ac:dyDescent="0.25">
      <c r="B5" s="67"/>
      <c r="C5" s="70" t="s">
        <v>783</v>
      </c>
      <c r="D5" s="4" t="s">
        <v>71</v>
      </c>
      <c r="E5" s="11">
        <v>0</v>
      </c>
      <c r="F5" s="11">
        <f>E5+E6</f>
        <v>4</v>
      </c>
      <c r="G5" s="11">
        <f t="shared" ref="G5:H5" si="0">F5+F6</f>
        <v>5</v>
      </c>
      <c r="H5" s="4">
        <f t="shared" si="0"/>
        <v>7</v>
      </c>
      <c r="I5" s="11">
        <f>H5+H6</f>
        <v>8</v>
      </c>
      <c r="J5" s="11">
        <f t="shared" ref="J5:S5" si="1">I5+I6</f>
        <v>10</v>
      </c>
      <c r="K5" s="11">
        <f t="shared" si="1"/>
        <v>11</v>
      </c>
      <c r="L5" s="11">
        <f t="shared" si="1"/>
        <v>13</v>
      </c>
      <c r="M5" s="4">
        <f t="shared" si="1"/>
        <v>14</v>
      </c>
      <c r="N5" s="11">
        <f t="shared" si="1"/>
        <v>15</v>
      </c>
      <c r="O5" s="11">
        <f t="shared" si="1"/>
        <v>17</v>
      </c>
      <c r="P5" s="4">
        <f t="shared" si="1"/>
        <v>18</v>
      </c>
      <c r="Q5" s="4">
        <f t="shared" si="1"/>
        <v>20</v>
      </c>
      <c r="R5" s="11">
        <f t="shared" si="1"/>
        <v>21</v>
      </c>
      <c r="S5" s="11">
        <f t="shared" si="1"/>
        <v>23</v>
      </c>
    </row>
    <row r="6" spans="1:19" ht="18" customHeight="1" x14ac:dyDescent="0.25">
      <c r="B6" s="68"/>
      <c r="C6" s="68"/>
      <c r="D6" s="4" t="s">
        <v>72</v>
      </c>
      <c r="E6" s="11">
        <v>4</v>
      </c>
      <c r="F6" s="11">
        <v>1</v>
      </c>
      <c r="G6" s="11">
        <v>2</v>
      </c>
      <c r="H6" s="4">
        <v>1</v>
      </c>
      <c r="I6" s="11">
        <v>2</v>
      </c>
      <c r="J6" s="11">
        <v>1</v>
      </c>
      <c r="K6" s="11">
        <v>2</v>
      </c>
      <c r="L6" s="11">
        <v>1</v>
      </c>
      <c r="M6" s="4">
        <v>1</v>
      </c>
      <c r="N6" s="11">
        <v>2</v>
      </c>
      <c r="O6" s="11">
        <v>1</v>
      </c>
      <c r="P6" s="4">
        <v>2</v>
      </c>
      <c r="Q6" s="4">
        <v>1</v>
      </c>
      <c r="R6" s="11">
        <v>2</v>
      </c>
      <c r="S6" s="11">
        <v>1</v>
      </c>
    </row>
    <row r="7" spans="1:19" ht="18" customHeight="1" x14ac:dyDescent="0.25">
      <c r="B7" s="68"/>
      <c r="C7" s="68"/>
      <c r="D7" s="31" t="s">
        <v>488</v>
      </c>
      <c r="E7" s="11" t="s">
        <v>73</v>
      </c>
      <c r="F7" s="11">
        <v>0</v>
      </c>
      <c r="G7" s="11">
        <f>SUM(E6:S6)</f>
        <v>24</v>
      </c>
      <c r="H7" s="4">
        <v>0</v>
      </c>
      <c r="I7" s="11"/>
      <c r="J7" s="11">
        <v>10</v>
      </c>
      <c r="K7" s="11"/>
      <c r="L7" s="11">
        <v>24</v>
      </c>
      <c r="M7" s="4">
        <v>1</v>
      </c>
      <c r="N7" s="11">
        <v>1250</v>
      </c>
      <c r="O7" s="11"/>
      <c r="P7" s="4">
        <v>1350</v>
      </c>
      <c r="Q7" s="4"/>
      <c r="R7" s="11">
        <v>1600</v>
      </c>
      <c r="S7" s="11"/>
    </row>
    <row r="8" spans="1:19" ht="90" x14ac:dyDescent="0.25">
      <c r="B8" s="69"/>
      <c r="C8" s="69"/>
      <c r="D8" s="31" t="s">
        <v>74</v>
      </c>
      <c r="E8" s="11"/>
      <c r="F8" s="15" t="s">
        <v>124</v>
      </c>
      <c r="G8" s="11"/>
      <c r="H8" s="5" t="s">
        <v>75</v>
      </c>
      <c r="I8" s="2"/>
      <c r="J8" s="3" t="s">
        <v>125</v>
      </c>
      <c r="K8" s="2"/>
      <c r="L8" s="3" t="s">
        <v>126</v>
      </c>
      <c r="M8" s="5"/>
      <c r="N8" s="2" t="s">
        <v>129</v>
      </c>
      <c r="O8" s="2" t="s">
        <v>132</v>
      </c>
      <c r="P8" s="5" t="s">
        <v>130</v>
      </c>
      <c r="Q8" s="5" t="s">
        <v>127</v>
      </c>
      <c r="R8" s="2" t="s">
        <v>131</v>
      </c>
      <c r="S8" s="2" t="s">
        <v>128</v>
      </c>
    </row>
    <row r="9" spans="1:19" ht="18" customHeight="1" x14ac:dyDescent="0.25"/>
    <row r="10" spans="1:19" ht="18" customHeight="1" x14ac:dyDescent="0.25">
      <c r="B10" s="74" t="s">
        <v>173</v>
      </c>
      <c r="C10" s="74" t="s">
        <v>172</v>
      </c>
      <c r="D10" s="76" t="s">
        <v>726</v>
      </c>
      <c r="E10" s="74" t="s">
        <v>50</v>
      </c>
      <c r="F10" s="74" t="s">
        <v>51</v>
      </c>
      <c r="G10" s="74" t="s">
        <v>52</v>
      </c>
      <c r="H10" s="12" t="s">
        <v>53</v>
      </c>
      <c r="I10" s="12" t="s">
        <v>54</v>
      </c>
      <c r="J10" s="12" t="s">
        <v>55</v>
      </c>
      <c r="K10" s="12" t="s">
        <v>56</v>
      </c>
      <c r="L10" s="12" t="s">
        <v>76</v>
      </c>
      <c r="M10" s="12" t="s">
        <v>57</v>
      </c>
      <c r="N10" s="12" t="s">
        <v>77</v>
      </c>
      <c r="O10" s="12" t="s">
        <v>47</v>
      </c>
      <c r="P10" s="12" t="s">
        <v>58</v>
      </c>
      <c r="Q10" s="12" t="s">
        <v>48</v>
      </c>
      <c r="R10" s="12" t="s">
        <v>59</v>
      </c>
      <c r="S10" s="12" t="s">
        <v>49</v>
      </c>
    </row>
    <row r="11" spans="1:19" ht="18" customHeight="1" x14ac:dyDescent="0.25">
      <c r="B11" s="75"/>
      <c r="C11" s="75"/>
      <c r="D11" s="76"/>
      <c r="E11" s="77"/>
      <c r="F11" s="77"/>
      <c r="G11" s="77"/>
      <c r="H11" s="4" t="s">
        <v>78</v>
      </c>
      <c r="I11" s="11" t="s">
        <v>60</v>
      </c>
      <c r="J11" s="11" t="s">
        <v>61</v>
      </c>
      <c r="K11" s="11" t="s">
        <v>62</v>
      </c>
      <c r="L11" s="11" t="s">
        <v>63</v>
      </c>
      <c r="M11" s="4" t="s">
        <v>64</v>
      </c>
      <c r="N11" s="11" t="s">
        <v>65</v>
      </c>
      <c r="O11" s="11" t="s">
        <v>66</v>
      </c>
      <c r="P11" s="4" t="s">
        <v>67</v>
      </c>
      <c r="Q11" s="4" t="s">
        <v>68</v>
      </c>
      <c r="R11" s="11" t="s">
        <v>69</v>
      </c>
      <c r="S11" s="11" t="s">
        <v>70</v>
      </c>
    </row>
    <row r="12" spans="1:19" ht="18" customHeight="1" x14ac:dyDescent="0.25">
      <c r="B12" s="67"/>
      <c r="C12" s="70" t="s">
        <v>784</v>
      </c>
      <c r="D12" s="4" t="s">
        <v>71</v>
      </c>
      <c r="E12" s="11">
        <f>S5+S6</f>
        <v>24</v>
      </c>
      <c r="F12" s="11">
        <f>E12+E13</f>
        <v>28</v>
      </c>
      <c r="G12" s="11">
        <f>F12+F13</f>
        <v>29</v>
      </c>
      <c r="H12" s="4">
        <f t="shared" ref="H12" si="2">G12+G13</f>
        <v>31</v>
      </c>
      <c r="I12" s="11">
        <f>H12+H13</f>
        <v>32</v>
      </c>
      <c r="J12" s="11">
        <f t="shared" ref="J12:S12" si="3">I12+I13</f>
        <v>34</v>
      </c>
      <c r="K12" s="11">
        <f t="shared" si="3"/>
        <v>35</v>
      </c>
      <c r="L12" s="11">
        <f t="shared" si="3"/>
        <v>37</v>
      </c>
      <c r="M12" s="4">
        <f t="shared" si="3"/>
        <v>38</v>
      </c>
      <c r="N12" s="11">
        <f t="shared" si="3"/>
        <v>39</v>
      </c>
      <c r="O12" s="11">
        <f t="shared" si="3"/>
        <v>41</v>
      </c>
      <c r="P12" s="4">
        <f t="shared" si="3"/>
        <v>42</v>
      </c>
      <c r="Q12" s="4">
        <f t="shared" si="3"/>
        <v>44</v>
      </c>
      <c r="R12" s="11">
        <f t="shared" si="3"/>
        <v>45</v>
      </c>
      <c r="S12" s="11">
        <f t="shared" si="3"/>
        <v>47</v>
      </c>
    </row>
    <row r="13" spans="1:19" ht="18" customHeight="1" x14ac:dyDescent="0.25">
      <c r="B13" s="68"/>
      <c r="C13" s="68"/>
      <c r="D13" s="4" t="s">
        <v>72</v>
      </c>
      <c r="E13" s="11">
        <v>4</v>
      </c>
      <c r="F13" s="11">
        <v>1</v>
      </c>
      <c r="G13" s="11">
        <v>2</v>
      </c>
      <c r="H13" s="4">
        <v>1</v>
      </c>
      <c r="I13" s="11">
        <v>2</v>
      </c>
      <c r="J13" s="11">
        <v>1</v>
      </c>
      <c r="K13" s="11">
        <v>2</v>
      </c>
      <c r="L13" s="11">
        <v>1</v>
      </c>
      <c r="M13" s="4">
        <v>1</v>
      </c>
      <c r="N13" s="11">
        <v>2</v>
      </c>
      <c r="O13" s="11">
        <v>1</v>
      </c>
      <c r="P13" s="4">
        <v>2</v>
      </c>
      <c r="Q13" s="4">
        <v>1</v>
      </c>
      <c r="R13" s="11">
        <v>2</v>
      </c>
      <c r="S13" s="11">
        <v>1</v>
      </c>
    </row>
    <row r="14" spans="1:19" x14ac:dyDescent="0.25">
      <c r="B14" s="68"/>
      <c r="C14" s="68"/>
      <c r="D14" s="31" t="s">
        <v>488</v>
      </c>
      <c r="E14" s="11" t="s">
        <v>79</v>
      </c>
      <c r="F14" s="11">
        <v>0</v>
      </c>
      <c r="G14" s="11">
        <f>SUM(E13:S13)</f>
        <v>24</v>
      </c>
      <c r="H14" s="4">
        <v>0</v>
      </c>
      <c r="I14" s="11"/>
      <c r="J14" s="11">
        <v>9</v>
      </c>
      <c r="K14" s="11"/>
      <c r="L14" s="11">
        <v>23</v>
      </c>
      <c r="M14" s="4">
        <v>1</v>
      </c>
      <c r="N14" s="11">
        <v>1250</v>
      </c>
      <c r="O14" s="11"/>
      <c r="P14" s="4">
        <v>1350</v>
      </c>
      <c r="Q14" s="4"/>
      <c r="R14" s="11">
        <v>1600</v>
      </c>
      <c r="S14" s="11"/>
    </row>
    <row r="15" spans="1:19" ht="90" x14ac:dyDescent="0.25">
      <c r="B15" s="69"/>
      <c r="C15" s="69"/>
      <c r="D15" s="27" t="s">
        <v>727</v>
      </c>
      <c r="E15" s="11"/>
      <c r="F15" s="15" t="s">
        <v>124</v>
      </c>
      <c r="G15" s="11"/>
      <c r="H15" s="5" t="s">
        <v>75</v>
      </c>
      <c r="I15" s="2"/>
      <c r="J15" s="3" t="s">
        <v>138</v>
      </c>
      <c r="K15" s="2"/>
      <c r="L15" s="3" t="s">
        <v>139</v>
      </c>
      <c r="M15" s="5"/>
      <c r="N15" s="2" t="s">
        <v>140</v>
      </c>
      <c r="O15" s="2" t="s">
        <v>133</v>
      </c>
      <c r="P15" s="27" t="s">
        <v>135</v>
      </c>
      <c r="Q15" s="4" t="s">
        <v>134</v>
      </c>
      <c r="R15" s="2" t="s">
        <v>136</v>
      </c>
      <c r="S15" s="2" t="s">
        <v>137</v>
      </c>
    </row>
    <row r="16" spans="1:19" ht="18" customHeight="1" x14ac:dyDescent="0.25"/>
    <row r="17" spans="2:19" ht="18" customHeight="1" x14ac:dyDescent="0.25">
      <c r="B17" s="74" t="s">
        <v>173</v>
      </c>
      <c r="C17" s="74" t="s">
        <v>172</v>
      </c>
      <c r="D17" s="76" t="s">
        <v>725</v>
      </c>
      <c r="E17" s="74" t="s">
        <v>50</v>
      </c>
      <c r="F17" s="74" t="s">
        <v>51</v>
      </c>
      <c r="G17" s="74" t="s">
        <v>52</v>
      </c>
      <c r="H17" s="12" t="s">
        <v>53</v>
      </c>
      <c r="I17" s="12" t="s">
        <v>54</v>
      </c>
      <c r="J17" s="12" t="s">
        <v>55</v>
      </c>
      <c r="K17" s="12" t="s">
        <v>11</v>
      </c>
      <c r="L17" s="12" t="s">
        <v>76</v>
      </c>
      <c r="M17" s="12" t="s">
        <v>57</v>
      </c>
      <c r="N17" s="12" t="s">
        <v>12</v>
      </c>
      <c r="O17" s="12" t="s">
        <v>47</v>
      </c>
      <c r="P17" s="12" t="s">
        <v>58</v>
      </c>
      <c r="Q17" s="12" t="s">
        <v>48</v>
      </c>
      <c r="R17" s="12" t="s">
        <v>59</v>
      </c>
      <c r="S17" s="12" t="s">
        <v>49</v>
      </c>
    </row>
    <row r="18" spans="2:19" ht="18" customHeight="1" x14ac:dyDescent="0.25">
      <c r="B18" s="75"/>
      <c r="C18" s="75"/>
      <c r="D18" s="76"/>
      <c r="E18" s="77"/>
      <c r="F18" s="77"/>
      <c r="G18" s="77"/>
      <c r="H18" s="4" t="s">
        <v>0</v>
      </c>
      <c r="I18" s="11" t="s">
        <v>60</v>
      </c>
      <c r="J18" s="11" t="s">
        <v>61</v>
      </c>
      <c r="K18" s="11" t="s">
        <v>62</v>
      </c>
      <c r="L18" s="11" t="s">
        <v>63</v>
      </c>
      <c r="M18" s="4" t="s">
        <v>5</v>
      </c>
      <c r="N18" s="11" t="s">
        <v>65</v>
      </c>
      <c r="O18" s="11" t="s">
        <v>66</v>
      </c>
      <c r="P18" s="4" t="s">
        <v>67</v>
      </c>
      <c r="Q18" s="4" t="s">
        <v>68</v>
      </c>
      <c r="R18" s="11" t="s">
        <v>69</v>
      </c>
      <c r="S18" s="11" t="s">
        <v>70</v>
      </c>
    </row>
    <row r="19" spans="2:19" ht="18" customHeight="1" x14ac:dyDescent="0.25">
      <c r="B19" s="67"/>
      <c r="C19" s="70" t="s">
        <v>785</v>
      </c>
      <c r="D19" s="4" t="s">
        <v>71</v>
      </c>
      <c r="E19" s="11">
        <f>S12+S13</f>
        <v>48</v>
      </c>
      <c r="F19" s="11">
        <f>E19+E20</f>
        <v>52</v>
      </c>
      <c r="G19" s="11">
        <f t="shared" ref="G19:H19" si="4">F19+F20</f>
        <v>53</v>
      </c>
      <c r="H19" s="4">
        <f t="shared" si="4"/>
        <v>55</v>
      </c>
      <c r="I19" s="11">
        <f>H19+H20</f>
        <v>56</v>
      </c>
      <c r="J19" s="11">
        <f t="shared" ref="J19:S19" si="5">I19+I20</f>
        <v>58</v>
      </c>
      <c r="K19" s="11">
        <f t="shared" si="5"/>
        <v>59</v>
      </c>
      <c r="L19" s="11">
        <f t="shared" si="5"/>
        <v>61</v>
      </c>
      <c r="M19" s="4">
        <f t="shared" si="5"/>
        <v>62</v>
      </c>
      <c r="N19" s="11">
        <f t="shared" si="5"/>
        <v>63</v>
      </c>
      <c r="O19" s="11">
        <f t="shared" si="5"/>
        <v>65</v>
      </c>
      <c r="P19" s="4">
        <f t="shared" si="5"/>
        <v>66</v>
      </c>
      <c r="Q19" s="4">
        <f t="shared" si="5"/>
        <v>68</v>
      </c>
      <c r="R19" s="11">
        <f t="shared" si="5"/>
        <v>69</v>
      </c>
      <c r="S19" s="11">
        <f t="shared" si="5"/>
        <v>71</v>
      </c>
    </row>
    <row r="20" spans="2:19" ht="18" customHeight="1" x14ac:dyDescent="0.25">
      <c r="B20" s="68"/>
      <c r="C20" s="68"/>
      <c r="D20" s="4" t="s">
        <v>72</v>
      </c>
      <c r="E20" s="11">
        <v>4</v>
      </c>
      <c r="F20" s="11">
        <v>1</v>
      </c>
      <c r="G20" s="11">
        <v>2</v>
      </c>
      <c r="H20" s="4">
        <v>1</v>
      </c>
      <c r="I20" s="11">
        <v>2</v>
      </c>
      <c r="J20" s="11">
        <v>1</v>
      </c>
      <c r="K20" s="11">
        <v>2</v>
      </c>
      <c r="L20" s="11">
        <v>1</v>
      </c>
      <c r="M20" s="4">
        <v>1</v>
      </c>
      <c r="N20" s="11">
        <v>2</v>
      </c>
      <c r="O20" s="11">
        <v>1</v>
      </c>
      <c r="P20" s="4">
        <v>2</v>
      </c>
      <c r="Q20" s="4">
        <v>1</v>
      </c>
      <c r="R20" s="11">
        <v>2</v>
      </c>
      <c r="S20" s="11">
        <v>1</v>
      </c>
    </row>
    <row r="21" spans="2:19" ht="18" customHeight="1" x14ac:dyDescent="0.25">
      <c r="B21" s="68"/>
      <c r="C21" s="68"/>
      <c r="D21" s="31" t="s">
        <v>488</v>
      </c>
      <c r="E21" s="11" t="s">
        <v>80</v>
      </c>
      <c r="F21" s="11">
        <v>0</v>
      </c>
      <c r="G21" s="11">
        <f>SUM(E20:S20)</f>
        <v>24</v>
      </c>
      <c r="H21" s="4">
        <v>0</v>
      </c>
      <c r="I21" s="11"/>
      <c r="J21" s="11">
        <v>5</v>
      </c>
      <c r="K21" s="11"/>
      <c r="L21" s="11">
        <v>12</v>
      </c>
      <c r="M21" s="4">
        <v>1</v>
      </c>
      <c r="N21" s="11">
        <v>1100</v>
      </c>
      <c r="O21" s="11"/>
      <c r="P21" s="4"/>
      <c r="Q21" s="4"/>
      <c r="R21" s="11"/>
      <c r="S21" s="11"/>
    </row>
    <row r="22" spans="2:19" ht="60" x14ac:dyDescent="0.25">
      <c r="B22" s="69"/>
      <c r="C22" s="69"/>
      <c r="D22" s="27" t="s">
        <v>727</v>
      </c>
      <c r="E22" s="11"/>
      <c r="F22" s="15" t="s">
        <v>124</v>
      </c>
      <c r="G22" s="11"/>
      <c r="H22" s="5" t="s">
        <v>75</v>
      </c>
      <c r="I22" s="2"/>
      <c r="J22" s="3" t="s">
        <v>142</v>
      </c>
      <c r="K22" s="2"/>
      <c r="L22" s="3" t="s">
        <v>143</v>
      </c>
      <c r="M22" s="5"/>
      <c r="N22" s="2" t="s">
        <v>145</v>
      </c>
      <c r="O22" s="2" t="s">
        <v>141</v>
      </c>
      <c r="P22" s="5"/>
      <c r="Q22" s="5"/>
      <c r="R22" s="2"/>
      <c r="S22" s="2"/>
    </row>
    <row r="23" spans="2:19" ht="18" customHeight="1" x14ac:dyDescent="0.25"/>
    <row r="24" spans="2:19" ht="18" customHeight="1" x14ac:dyDescent="0.25">
      <c r="B24" s="74" t="s">
        <v>173</v>
      </c>
      <c r="C24" s="74" t="s">
        <v>172</v>
      </c>
      <c r="D24" s="76" t="s">
        <v>724</v>
      </c>
      <c r="E24" s="74" t="s">
        <v>50</v>
      </c>
      <c r="F24" s="74" t="s">
        <v>51</v>
      </c>
      <c r="G24" s="74" t="s">
        <v>52</v>
      </c>
      <c r="H24" s="12" t="s">
        <v>53</v>
      </c>
      <c r="I24" s="12" t="s">
        <v>54</v>
      </c>
      <c r="J24" s="12" t="s">
        <v>55</v>
      </c>
      <c r="K24" s="12" t="s">
        <v>11</v>
      </c>
      <c r="L24" s="12" t="s">
        <v>76</v>
      </c>
      <c r="M24" s="12" t="s">
        <v>57</v>
      </c>
      <c r="N24" s="12" t="s">
        <v>12</v>
      </c>
      <c r="O24" s="12" t="s">
        <v>15</v>
      </c>
      <c r="P24" s="12" t="s">
        <v>58</v>
      </c>
      <c r="Q24" s="12" t="s">
        <v>48</v>
      </c>
      <c r="R24" s="12" t="s">
        <v>59</v>
      </c>
      <c r="S24" s="12" t="s">
        <v>49</v>
      </c>
    </row>
    <row r="25" spans="2:19" ht="18" customHeight="1" x14ac:dyDescent="0.25">
      <c r="B25" s="75"/>
      <c r="C25" s="75"/>
      <c r="D25" s="76"/>
      <c r="E25" s="77"/>
      <c r="F25" s="77"/>
      <c r="G25" s="77"/>
      <c r="H25" s="4" t="s">
        <v>0</v>
      </c>
      <c r="I25" s="11" t="s">
        <v>2</v>
      </c>
      <c r="J25" s="11" t="s">
        <v>61</v>
      </c>
      <c r="K25" s="11" t="s">
        <v>62</v>
      </c>
      <c r="L25" s="11" t="s">
        <v>4</v>
      </c>
      <c r="M25" s="4" t="s">
        <v>64</v>
      </c>
      <c r="N25" s="11" t="s">
        <v>65</v>
      </c>
      <c r="O25" s="11" t="s">
        <v>6</v>
      </c>
      <c r="P25" s="4" t="s">
        <v>67</v>
      </c>
      <c r="Q25" s="4" t="s">
        <v>68</v>
      </c>
      <c r="R25" s="11" t="s">
        <v>69</v>
      </c>
      <c r="S25" s="11" t="s">
        <v>70</v>
      </c>
    </row>
    <row r="26" spans="2:19" ht="18" customHeight="1" x14ac:dyDescent="0.25">
      <c r="B26" s="67"/>
      <c r="C26" s="70" t="s">
        <v>786</v>
      </c>
      <c r="D26" s="4" t="s">
        <v>71</v>
      </c>
      <c r="E26" s="11">
        <f>S19+S20</f>
        <v>72</v>
      </c>
      <c r="F26" s="11">
        <f>E26+E27</f>
        <v>76</v>
      </c>
      <c r="G26" s="11">
        <f t="shared" ref="G26:H26" si="6">F26+F27</f>
        <v>77</v>
      </c>
      <c r="H26" s="4">
        <f t="shared" si="6"/>
        <v>79</v>
      </c>
      <c r="I26" s="11">
        <f>H26+H27</f>
        <v>80</v>
      </c>
      <c r="J26" s="11">
        <f t="shared" ref="J26:S26" si="7">I26+I27</f>
        <v>82</v>
      </c>
      <c r="K26" s="11">
        <f t="shared" si="7"/>
        <v>83</v>
      </c>
      <c r="L26" s="11">
        <f t="shared" si="7"/>
        <v>85</v>
      </c>
      <c r="M26" s="4">
        <f t="shared" si="7"/>
        <v>86</v>
      </c>
      <c r="N26" s="11">
        <f t="shared" si="7"/>
        <v>87</v>
      </c>
      <c r="O26" s="11">
        <f t="shared" si="7"/>
        <v>89</v>
      </c>
      <c r="P26" s="4">
        <f t="shared" si="7"/>
        <v>90</v>
      </c>
      <c r="Q26" s="4">
        <f t="shared" si="7"/>
        <v>92</v>
      </c>
      <c r="R26" s="11">
        <f t="shared" si="7"/>
        <v>93</v>
      </c>
      <c r="S26" s="11">
        <f t="shared" si="7"/>
        <v>95</v>
      </c>
    </row>
    <row r="27" spans="2:19" ht="18" customHeight="1" x14ac:dyDescent="0.25">
      <c r="B27" s="68"/>
      <c r="C27" s="68"/>
      <c r="D27" s="4" t="s">
        <v>72</v>
      </c>
      <c r="E27" s="11">
        <v>4</v>
      </c>
      <c r="F27" s="11">
        <v>1</v>
      </c>
      <c r="G27" s="11">
        <v>2</v>
      </c>
      <c r="H27" s="4">
        <v>1</v>
      </c>
      <c r="I27" s="11">
        <v>2</v>
      </c>
      <c r="J27" s="11">
        <v>1</v>
      </c>
      <c r="K27" s="11">
        <v>2</v>
      </c>
      <c r="L27" s="11">
        <v>1</v>
      </c>
      <c r="M27" s="4">
        <v>1</v>
      </c>
      <c r="N27" s="11">
        <v>2</v>
      </c>
      <c r="O27" s="11">
        <v>1</v>
      </c>
      <c r="P27" s="4">
        <v>2</v>
      </c>
      <c r="Q27" s="4">
        <v>1</v>
      </c>
      <c r="R27" s="11">
        <v>2</v>
      </c>
      <c r="S27" s="11">
        <v>1</v>
      </c>
    </row>
    <row r="28" spans="2:19" ht="18" customHeight="1" x14ac:dyDescent="0.25">
      <c r="B28" s="68"/>
      <c r="C28" s="68"/>
      <c r="D28" s="31" t="s">
        <v>488</v>
      </c>
      <c r="E28" s="11" t="s">
        <v>81</v>
      </c>
      <c r="F28" s="11">
        <v>0</v>
      </c>
      <c r="G28" s="30">
        <f>SUM(E27:S27)</f>
        <v>24</v>
      </c>
      <c r="H28" s="4">
        <v>0</v>
      </c>
      <c r="I28" s="11"/>
      <c r="J28" s="11">
        <v>5</v>
      </c>
      <c r="K28" s="11"/>
      <c r="L28" s="11">
        <v>12</v>
      </c>
      <c r="M28" s="4">
        <v>1</v>
      </c>
      <c r="N28" s="11">
        <v>1100</v>
      </c>
      <c r="O28" s="11"/>
      <c r="P28" s="4"/>
      <c r="Q28" s="4"/>
      <c r="R28" s="11"/>
      <c r="S28" s="11"/>
    </row>
    <row r="29" spans="2:19" ht="60" x14ac:dyDescent="0.25">
      <c r="B29" s="69"/>
      <c r="C29" s="69"/>
      <c r="D29" s="27" t="s">
        <v>728</v>
      </c>
      <c r="E29" s="11"/>
      <c r="F29" s="15" t="s">
        <v>124</v>
      </c>
      <c r="G29" s="11"/>
      <c r="H29" s="5" t="s">
        <v>75</v>
      </c>
      <c r="I29" s="2"/>
      <c r="J29" s="3" t="s">
        <v>148</v>
      </c>
      <c r="K29" s="2"/>
      <c r="L29" s="3" t="s">
        <v>144</v>
      </c>
      <c r="M29" s="5"/>
      <c r="N29" s="2" t="s">
        <v>146</v>
      </c>
      <c r="O29" s="2" t="s">
        <v>147</v>
      </c>
      <c r="P29" s="5"/>
      <c r="Q29" s="5"/>
      <c r="R29" s="2"/>
      <c r="S29" s="2"/>
    </row>
    <row r="30" spans="2:19" ht="18" customHeight="1" x14ac:dyDescent="0.25"/>
    <row r="31" spans="2:19" ht="18" customHeight="1" x14ac:dyDescent="0.25">
      <c r="B31" s="74" t="s">
        <v>174</v>
      </c>
      <c r="C31" s="74" t="s">
        <v>172</v>
      </c>
      <c r="D31" s="76" t="s">
        <v>723</v>
      </c>
      <c r="E31" s="74" t="s">
        <v>50</v>
      </c>
      <c r="F31" s="74" t="s">
        <v>51</v>
      </c>
      <c r="G31" s="74" t="s">
        <v>52</v>
      </c>
      <c r="H31" s="12" t="s">
        <v>53</v>
      </c>
      <c r="I31" s="12" t="s">
        <v>54</v>
      </c>
      <c r="J31" s="12" t="s">
        <v>55</v>
      </c>
      <c r="K31" s="12" t="s">
        <v>56</v>
      </c>
      <c r="L31" s="12" t="s">
        <v>76</v>
      </c>
      <c r="M31" s="12" t="s">
        <v>57</v>
      </c>
      <c r="N31" s="12" t="s">
        <v>77</v>
      </c>
      <c r="O31" s="12" t="s">
        <v>47</v>
      </c>
      <c r="P31" s="12" t="s">
        <v>58</v>
      </c>
      <c r="Q31" s="12" t="s">
        <v>48</v>
      </c>
      <c r="R31" s="12" t="s">
        <v>59</v>
      </c>
      <c r="S31" s="12" t="s">
        <v>49</v>
      </c>
    </row>
    <row r="32" spans="2:19" ht="18" customHeight="1" x14ac:dyDescent="0.25">
      <c r="B32" s="75"/>
      <c r="C32" s="75"/>
      <c r="D32" s="76"/>
      <c r="E32" s="77"/>
      <c r="F32" s="77"/>
      <c r="G32" s="77"/>
      <c r="H32" s="4" t="s">
        <v>78</v>
      </c>
      <c r="I32" s="11" t="s">
        <v>60</v>
      </c>
      <c r="J32" s="11" t="s">
        <v>27</v>
      </c>
      <c r="K32" s="11" t="s">
        <v>62</v>
      </c>
      <c r="L32" s="11" t="s">
        <v>63</v>
      </c>
      <c r="M32" s="4" t="s">
        <v>64</v>
      </c>
      <c r="N32" s="11" t="s">
        <v>65</v>
      </c>
      <c r="O32" s="11" t="s">
        <v>66</v>
      </c>
      <c r="P32" s="4" t="s">
        <v>67</v>
      </c>
      <c r="Q32" s="4" t="s">
        <v>68</v>
      </c>
      <c r="R32" s="11" t="s">
        <v>7</v>
      </c>
      <c r="S32" s="11" t="s">
        <v>70</v>
      </c>
    </row>
    <row r="33" spans="2:19" ht="18" customHeight="1" x14ac:dyDescent="0.25">
      <c r="B33" s="67"/>
      <c r="C33" s="70" t="s">
        <v>787</v>
      </c>
      <c r="D33" s="4" t="s">
        <v>71</v>
      </c>
      <c r="E33" s="11">
        <f>S26+S27</f>
        <v>96</v>
      </c>
      <c r="F33" s="11">
        <f>E33+E34</f>
        <v>100</v>
      </c>
      <c r="G33" s="11">
        <f t="shared" ref="G33:H33" si="8">F33+F34</f>
        <v>101</v>
      </c>
      <c r="H33" s="4">
        <f t="shared" si="8"/>
        <v>103</v>
      </c>
      <c r="I33" s="11">
        <f>H33+H34</f>
        <v>104</v>
      </c>
      <c r="J33" s="11">
        <f t="shared" ref="J33:S33" si="9">I33+I34</f>
        <v>106</v>
      </c>
      <c r="K33" s="11">
        <f t="shared" si="9"/>
        <v>107</v>
      </c>
      <c r="L33" s="11">
        <f t="shared" si="9"/>
        <v>109</v>
      </c>
      <c r="M33" s="4">
        <f t="shared" si="9"/>
        <v>110</v>
      </c>
      <c r="N33" s="11">
        <f t="shared" si="9"/>
        <v>111</v>
      </c>
      <c r="O33" s="11">
        <f t="shared" si="9"/>
        <v>113</v>
      </c>
      <c r="P33" s="4">
        <f t="shared" si="9"/>
        <v>114</v>
      </c>
      <c r="Q33" s="4">
        <f t="shared" si="9"/>
        <v>116</v>
      </c>
      <c r="R33" s="11">
        <f t="shared" si="9"/>
        <v>117</v>
      </c>
      <c r="S33" s="11">
        <f t="shared" si="9"/>
        <v>119</v>
      </c>
    </row>
    <row r="34" spans="2:19" ht="18" customHeight="1" x14ac:dyDescent="0.25">
      <c r="B34" s="68"/>
      <c r="C34" s="68"/>
      <c r="D34" s="4" t="s">
        <v>72</v>
      </c>
      <c r="E34" s="11">
        <v>4</v>
      </c>
      <c r="F34" s="11">
        <v>1</v>
      </c>
      <c r="G34" s="11">
        <v>2</v>
      </c>
      <c r="H34" s="4">
        <v>1</v>
      </c>
      <c r="I34" s="11">
        <v>2</v>
      </c>
      <c r="J34" s="11">
        <v>1</v>
      </c>
      <c r="K34" s="11">
        <v>2</v>
      </c>
      <c r="L34" s="11">
        <v>1</v>
      </c>
      <c r="M34" s="4">
        <v>1</v>
      </c>
      <c r="N34" s="11">
        <v>2</v>
      </c>
      <c r="O34" s="11">
        <v>1</v>
      </c>
      <c r="P34" s="4">
        <v>2</v>
      </c>
      <c r="Q34" s="4">
        <v>1</v>
      </c>
      <c r="R34" s="11">
        <v>2</v>
      </c>
      <c r="S34" s="11">
        <v>1</v>
      </c>
    </row>
    <row r="35" spans="2:19" ht="18" customHeight="1" x14ac:dyDescent="0.25">
      <c r="B35" s="68"/>
      <c r="C35" s="68"/>
      <c r="D35" s="31" t="s">
        <v>488</v>
      </c>
      <c r="E35" s="11" t="s">
        <v>82</v>
      </c>
      <c r="F35" s="11">
        <v>0</v>
      </c>
      <c r="G35" s="30">
        <f>SUM(E34:S34)</f>
        <v>24</v>
      </c>
      <c r="H35" s="4">
        <v>0</v>
      </c>
      <c r="I35" s="11"/>
      <c r="J35" s="11">
        <v>9</v>
      </c>
      <c r="K35" s="11"/>
      <c r="L35" s="11">
        <v>2</v>
      </c>
      <c r="M35" s="4">
        <v>1</v>
      </c>
      <c r="N35" s="11">
        <v>700</v>
      </c>
      <c r="O35" s="11"/>
      <c r="P35" s="4">
        <v>800</v>
      </c>
      <c r="Q35" s="4"/>
      <c r="R35" s="11">
        <v>680</v>
      </c>
      <c r="S35" s="11"/>
    </row>
    <row r="36" spans="2:19" ht="60" x14ac:dyDescent="0.25">
      <c r="B36" s="69"/>
      <c r="C36" s="69"/>
      <c r="D36" s="27" t="s">
        <v>728</v>
      </c>
      <c r="E36" s="11"/>
      <c r="F36" s="15" t="s">
        <v>124</v>
      </c>
      <c r="G36" s="11"/>
      <c r="H36" s="5" t="s">
        <v>75</v>
      </c>
      <c r="I36" s="2"/>
      <c r="J36" s="3" t="s">
        <v>149</v>
      </c>
      <c r="K36" s="2"/>
      <c r="L36" s="3" t="s">
        <v>150</v>
      </c>
      <c r="M36" s="5"/>
      <c r="N36" s="2"/>
      <c r="O36" s="2" t="s">
        <v>151</v>
      </c>
      <c r="P36" s="5"/>
      <c r="Q36" s="5" t="s">
        <v>151</v>
      </c>
      <c r="R36" s="2"/>
      <c r="S36" s="2" t="s">
        <v>152</v>
      </c>
    </row>
    <row r="37" spans="2:19" ht="18" customHeight="1" x14ac:dyDescent="0.25"/>
    <row r="38" spans="2:19" customFormat="1" ht="18" customHeight="1" x14ac:dyDescent="0.25">
      <c r="B38" s="74" t="s">
        <v>174</v>
      </c>
      <c r="C38" s="74" t="s">
        <v>172</v>
      </c>
      <c r="D38" s="76" t="s">
        <v>83</v>
      </c>
      <c r="E38" s="74" t="s">
        <v>50</v>
      </c>
      <c r="F38" s="74" t="s">
        <v>51</v>
      </c>
      <c r="G38" s="74" t="s">
        <v>52</v>
      </c>
      <c r="H38" s="12" t="s">
        <v>53</v>
      </c>
      <c r="I38" s="12" t="s">
        <v>54</v>
      </c>
      <c r="J38" s="12" t="s">
        <v>84</v>
      </c>
      <c r="K38" s="12" t="s">
        <v>56</v>
      </c>
      <c r="L38" s="12" t="s">
        <v>85</v>
      </c>
      <c r="M38" s="12" t="s">
        <v>86</v>
      </c>
      <c r="N38" s="12" t="s">
        <v>77</v>
      </c>
      <c r="O38" s="12" t="s">
        <v>87</v>
      </c>
      <c r="P38" s="12" t="s">
        <v>58</v>
      </c>
      <c r="Q38" s="12" t="s">
        <v>88</v>
      </c>
      <c r="R38" s="12" t="s">
        <v>59</v>
      </c>
    </row>
    <row r="39" spans="2:19" customFormat="1" ht="18" customHeight="1" x14ac:dyDescent="0.25">
      <c r="B39" s="75"/>
      <c r="C39" s="75"/>
      <c r="D39" s="76"/>
      <c r="E39" s="77"/>
      <c r="F39" s="77"/>
      <c r="G39" s="77"/>
      <c r="H39" s="4" t="s">
        <v>78</v>
      </c>
      <c r="I39" s="11" t="s">
        <v>60</v>
      </c>
      <c r="J39" s="11" t="s">
        <v>89</v>
      </c>
      <c r="K39" s="11" t="s">
        <v>62</v>
      </c>
      <c r="L39" s="11" t="s">
        <v>20</v>
      </c>
      <c r="M39" s="4" t="s">
        <v>90</v>
      </c>
      <c r="N39" s="4" t="s">
        <v>91</v>
      </c>
      <c r="O39" s="11" t="s">
        <v>92</v>
      </c>
      <c r="P39" s="11" t="s">
        <v>93</v>
      </c>
      <c r="Q39" s="4" t="s">
        <v>94</v>
      </c>
      <c r="R39" s="4" t="s">
        <v>95</v>
      </c>
    </row>
    <row r="40" spans="2:19" customFormat="1" ht="18" customHeight="1" x14ac:dyDescent="0.25">
      <c r="B40" s="67"/>
      <c r="C40" s="70" t="s">
        <v>788</v>
      </c>
      <c r="D40" s="4" t="s">
        <v>71</v>
      </c>
      <c r="E40" s="11">
        <f>S33+S34</f>
        <v>120</v>
      </c>
      <c r="F40" s="11">
        <f>E40+E41</f>
        <v>124</v>
      </c>
      <c r="G40" s="11">
        <f t="shared" ref="G40:H40" si="10">F40+F41</f>
        <v>125</v>
      </c>
      <c r="H40" s="4">
        <f t="shared" si="10"/>
        <v>127</v>
      </c>
      <c r="I40" s="11">
        <f>H40+H41</f>
        <v>128</v>
      </c>
      <c r="J40" s="11">
        <f t="shared" ref="J40:R40" si="11">I40+I41</f>
        <v>130</v>
      </c>
      <c r="K40" s="11">
        <f t="shared" si="11"/>
        <v>132</v>
      </c>
      <c r="L40" s="11">
        <f t="shared" si="11"/>
        <v>134</v>
      </c>
      <c r="M40" s="4">
        <f t="shared" si="11"/>
        <v>136</v>
      </c>
      <c r="N40" s="4">
        <f t="shared" si="11"/>
        <v>138</v>
      </c>
      <c r="O40" s="11">
        <f t="shared" si="11"/>
        <v>140</v>
      </c>
      <c r="P40" s="11">
        <f t="shared" si="11"/>
        <v>142</v>
      </c>
      <c r="Q40" s="4">
        <f t="shared" si="11"/>
        <v>144</v>
      </c>
      <c r="R40" s="4">
        <f t="shared" si="11"/>
        <v>146</v>
      </c>
    </row>
    <row r="41" spans="2:19" customFormat="1" ht="18" customHeight="1" x14ac:dyDescent="0.25">
      <c r="B41" s="68"/>
      <c r="C41" s="68"/>
      <c r="D41" s="4" t="s">
        <v>72</v>
      </c>
      <c r="E41" s="11">
        <v>4</v>
      </c>
      <c r="F41" s="11">
        <v>1</v>
      </c>
      <c r="G41" s="11">
        <v>2</v>
      </c>
      <c r="H41" s="4">
        <v>1</v>
      </c>
      <c r="I41" s="11">
        <v>2</v>
      </c>
      <c r="J41" s="11">
        <v>2</v>
      </c>
      <c r="K41" s="11">
        <v>2</v>
      </c>
      <c r="L41" s="11">
        <v>2</v>
      </c>
      <c r="M41" s="4">
        <v>2</v>
      </c>
      <c r="N41" s="4">
        <v>2</v>
      </c>
      <c r="O41" s="11">
        <v>2</v>
      </c>
      <c r="P41" s="11">
        <v>2</v>
      </c>
      <c r="Q41" s="4">
        <v>2</v>
      </c>
      <c r="R41" s="4">
        <v>2</v>
      </c>
    </row>
    <row r="42" spans="2:19" customFormat="1" ht="18" customHeight="1" x14ac:dyDescent="0.25">
      <c r="B42" s="68"/>
      <c r="C42" s="68"/>
      <c r="D42" s="31" t="s">
        <v>488</v>
      </c>
      <c r="E42" s="11" t="s">
        <v>96</v>
      </c>
      <c r="F42" s="11">
        <v>0</v>
      </c>
      <c r="G42" s="30">
        <f>SUM(E41:R41)</f>
        <v>28</v>
      </c>
      <c r="H42" s="4">
        <v>0</v>
      </c>
      <c r="I42" s="11">
        <v>1800</v>
      </c>
      <c r="J42" s="11"/>
      <c r="K42" s="11">
        <v>3600</v>
      </c>
      <c r="L42" s="11"/>
      <c r="M42" s="4">
        <v>2000</v>
      </c>
      <c r="N42" s="4"/>
      <c r="O42" s="11">
        <v>2500</v>
      </c>
      <c r="P42" s="11"/>
      <c r="Q42" s="4">
        <v>3300</v>
      </c>
      <c r="R42" s="4"/>
    </row>
    <row r="43" spans="2:19" customFormat="1" ht="60" x14ac:dyDescent="0.25">
      <c r="B43" s="69"/>
      <c r="C43" s="69"/>
      <c r="D43" s="31" t="s">
        <v>74</v>
      </c>
      <c r="E43" s="11"/>
      <c r="F43" s="15" t="s">
        <v>124</v>
      </c>
      <c r="G43" s="11"/>
      <c r="H43" s="5" t="s">
        <v>75</v>
      </c>
      <c r="I43" s="2"/>
      <c r="J43" s="7" t="s">
        <v>156</v>
      </c>
      <c r="K43" s="8"/>
      <c r="L43" s="7" t="s">
        <v>153</v>
      </c>
      <c r="M43" s="9" t="s">
        <v>159</v>
      </c>
      <c r="N43" s="10"/>
      <c r="O43" s="8" t="s">
        <v>154</v>
      </c>
      <c r="P43" s="7"/>
      <c r="Q43" s="9" t="s">
        <v>155</v>
      </c>
      <c r="R43" s="10"/>
    </row>
    <row r="44" spans="2:19" customFormat="1" ht="18" customHeight="1" x14ac:dyDescent="0.25">
      <c r="B44" s="14"/>
      <c r="C44" s="14"/>
      <c r="D44" s="13"/>
      <c r="E44" s="14"/>
      <c r="F44" s="14"/>
      <c r="G44" s="14"/>
    </row>
    <row r="45" spans="2:19" customFormat="1" ht="18" customHeight="1" x14ac:dyDescent="0.25">
      <c r="B45" s="74" t="s">
        <v>174</v>
      </c>
      <c r="C45" s="74" t="s">
        <v>172</v>
      </c>
      <c r="D45" s="76" t="s">
        <v>97</v>
      </c>
      <c r="E45" s="74" t="s">
        <v>50</v>
      </c>
      <c r="F45" s="74" t="s">
        <v>51</v>
      </c>
      <c r="G45" s="74" t="s">
        <v>52</v>
      </c>
      <c r="H45" s="12" t="s">
        <v>53</v>
      </c>
      <c r="I45" s="12" t="s">
        <v>10</v>
      </c>
      <c r="J45" s="12" t="s">
        <v>84</v>
      </c>
      <c r="K45" s="12" t="s">
        <v>56</v>
      </c>
      <c r="L45" s="12" t="s">
        <v>85</v>
      </c>
      <c r="M45" s="12" t="s">
        <v>86</v>
      </c>
      <c r="N45" s="12" t="s">
        <v>77</v>
      </c>
      <c r="O45" s="12" t="s">
        <v>87</v>
      </c>
      <c r="P45" s="12" t="s">
        <v>58</v>
      </c>
      <c r="Q45" s="12" t="s">
        <v>88</v>
      </c>
      <c r="R45" s="12" t="s">
        <v>59</v>
      </c>
    </row>
    <row r="46" spans="2:19" customFormat="1" ht="18" customHeight="1" x14ac:dyDescent="0.25">
      <c r="B46" s="75"/>
      <c r="C46" s="75"/>
      <c r="D46" s="76"/>
      <c r="E46" s="77"/>
      <c r="F46" s="77"/>
      <c r="G46" s="77"/>
      <c r="H46" s="4" t="s">
        <v>78</v>
      </c>
      <c r="I46" s="11" t="s">
        <v>60</v>
      </c>
      <c r="J46" s="11" t="s">
        <v>89</v>
      </c>
      <c r="K46" s="11" t="s">
        <v>62</v>
      </c>
      <c r="L46" s="11" t="s">
        <v>20</v>
      </c>
      <c r="M46" s="4" t="s">
        <v>90</v>
      </c>
      <c r="N46" s="4" t="s">
        <v>91</v>
      </c>
      <c r="O46" s="11" t="s">
        <v>92</v>
      </c>
      <c r="P46" s="11" t="s">
        <v>21</v>
      </c>
      <c r="Q46" s="4" t="s">
        <v>94</v>
      </c>
      <c r="R46" s="4" t="s">
        <v>98</v>
      </c>
    </row>
    <row r="47" spans="2:19" customFormat="1" ht="18" customHeight="1" x14ac:dyDescent="0.25">
      <c r="B47" s="67"/>
      <c r="C47" s="70" t="s">
        <v>789</v>
      </c>
      <c r="D47" s="4" t="s">
        <v>71</v>
      </c>
      <c r="E47" s="11">
        <f>R40+R41</f>
        <v>148</v>
      </c>
      <c r="F47" s="11">
        <f>E47+E48</f>
        <v>152</v>
      </c>
      <c r="G47" s="11">
        <f t="shared" ref="G47:H47" si="12">F47+F48</f>
        <v>153</v>
      </c>
      <c r="H47" s="4">
        <f t="shared" si="12"/>
        <v>155</v>
      </c>
      <c r="I47" s="11">
        <f>H47+H48</f>
        <v>156</v>
      </c>
      <c r="J47" s="11">
        <f t="shared" ref="J47:R47" si="13">I47+I48</f>
        <v>158</v>
      </c>
      <c r="K47" s="11">
        <f t="shared" si="13"/>
        <v>160</v>
      </c>
      <c r="L47" s="11">
        <f t="shared" si="13"/>
        <v>162</v>
      </c>
      <c r="M47" s="4">
        <f t="shared" si="13"/>
        <v>164</v>
      </c>
      <c r="N47" s="4">
        <f t="shared" si="13"/>
        <v>166</v>
      </c>
      <c r="O47" s="11">
        <f t="shared" si="13"/>
        <v>168</v>
      </c>
      <c r="P47" s="11">
        <f t="shared" si="13"/>
        <v>170</v>
      </c>
      <c r="Q47" s="4">
        <f t="shared" si="13"/>
        <v>172</v>
      </c>
      <c r="R47" s="4">
        <f t="shared" si="13"/>
        <v>174</v>
      </c>
    </row>
    <row r="48" spans="2:19" customFormat="1" ht="18" customHeight="1" x14ac:dyDescent="0.25">
      <c r="B48" s="68"/>
      <c r="C48" s="68"/>
      <c r="D48" s="4" t="s">
        <v>72</v>
      </c>
      <c r="E48" s="11">
        <v>4</v>
      </c>
      <c r="F48" s="11">
        <v>1</v>
      </c>
      <c r="G48" s="11">
        <v>2</v>
      </c>
      <c r="H48" s="4">
        <v>1</v>
      </c>
      <c r="I48" s="11">
        <v>2</v>
      </c>
      <c r="J48" s="11">
        <v>2</v>
      </c>
      <c r="K48" s="11">
        <v>2</v>
      </c>
      <c r="L48" s="11">
        <v>2</v>
      </c>
      <c r="M48" s="4">
        <v>2</v>
      </c>
      <c r="N48" s="4">
        <v>2</v>
      </c>
      <c r="O48" s="11">
        <v>2</v>
      </c>
      <c r="P48" s="11">
        <v>2</v>
      </c>
      <c r="Q48" s="4">
        <v>2</v>
      </c>
      <c r="R48" s="4">
        <v>2</v>
      </c>
    </row>
    <row r="49" spans="2:18" customFormat="1" ht="18" customHeight="1" x14ac:dyDescent="0.25">
      <c r="B49" s="68"/>
      <c r="C49" s="68"/>
      <c r="D49" s="31" t="s">
        <v>488</v>
      </c>
      <c r="E49" s="11" t="s">
        <v>99</v>
      </c>
      <c r="F49" s="11">
        <v>0</v>
      </c>
      <c r="G49" s="30">
        <f>SUM(E48:R48)</f>
        <v>28</v>
      </c>
      <c r="H49" s="4">
        <v>0</v>
      </c>
      <c r="I49" s="11">
        <v>0</v>
      </c>
      <c r="J49" s="11"/>
      <c r="K49" s="11">
        <v>3600</v>
      </c>
      <c r="L49" s="11"/>
      <c r="M49" s="4">
        <v>900</v>
      </c>
      <c r="N49" s="4"/>
      <c r="O49" s="11">
        <v>1800</v>
      </c>
      <c r="P49" s="11"/>
      <c r="Q49" s="4">
        <v>3300</v>
      </c>
      <c r="R49" s="4"/>
    </row>
    <row r="50" spans="2:18" customFormat="1" ht="60" x14ac:dyDescent="0.25">
      <c r="B50" s="69"/>
      <c r="C50" s="69"/>
      <c r="D50" s="31" t="s">
        <v>74</v>
      </c>
      <c r="E50" s="11"/>
      <c r="F50" s="15" t="s">
        <v>124</v>
      </c>
      <c r="G50" s="11"/>
      <c r="H50" s="5" t="s">
        <v>100</v>
      </c>
      <c r="I50" s="2"/>
      <c r="J50" s="7" t="s">
        <v>157</v>
      </c>
      <c r="K50" s="8"/>
      <c r="L50" s="7" t="s">
        <v>158</v>
      </c>
      <c r="M50" s="9" t="s">
        <v>161</v>
      </c>
      <c r="N50" s="10"/>
      <c r="O50" s="8" t="s">
        <v>160</v>
      </c>
      <c r="P50" s="7"/>
      <c r="Q50" s="9" t="s">
        <v>162</v>
      </c>
      <c r="R50" s="10"/>
    </row>
    <row r="51" spans="2:18" customFormat="1" ht="18" customHeight="1" x14ac:dyDescent="0.25">
      <c r="B51" s="14"/>
      <c r="C51" s="14"/>
      <c r="D51" s="13"/>
      <c r="E51" s="14"/>
      <c r="F51" s="14"/>
      <c r="G51" s="14"/>
    </row>
    <row r="52" spans="2:18" customFormat="1" ht="18" customHeight="1" x14ac:dyDescent="0.25">
      <c r="B52" s="74" t="s">
        <v>174</v>
      </c>
      <c r="C52" s="74" t="s">
        <v>172</v>
      </c>
      <c r="D52" s="76" t="s">
        <v>28</v>
      </c>
      <c r="E52" s="74" t="s">
        <v>50</v>
      </c>
      <c r="F52" s="74" t="s">
        <v>51</v>
      </c>
      <c r="G52" s="74" t="s">
        <v>52</v>
      </c>
      <c r="H52" s="12" t="s">
        <v>53</v>
      </c>
      <c r="I52" s="12" t="s">
        <v>24</v>
      </c>
      <c r="J52" s="12" t="s">
        <v>17</v>
      </c>
    </row>
    <row r="53" spans="2:18" customFormat="1" ht="18" customHeight="1" x14ac:dyDescent="0.25">
      <c r="B53" s="75"/>
      <c r="C53" s="75"/>
      <c r="D53" s="76"/>
      <c r="E53" s="77"/>
      <c r="F53" s="77"/>
      <c r="G53" s="77"/>
      <c r="H53" s="4" t="s">
        <v>78</v>
      </c>
      <c r="I53" s="11" t="s">
        <v>101</v>
      </c>
      <c r="J53" s="4" t="s">
        <v>89</v>
      </c>
    </row>
    <row r="54" spans="2:18" customFormat="1" ht="18" customHeight="1" x14ac:dyDescent="0.25">
      <c r="B54" s="67"/>
      <c r="C54" s="70" t="s">
        <v>790</v>
      </c>
      <c r="D54" s="4" t="s">
        <v>71</v>
      </c>
      <c r="E54" s="11">
        <f>R47+R48</f>
        <v>176</v>
      </c>
      <c r="F54" s="11">
        <f>E54+E55</f>
        <v>180</v>
      </c>
      <c r="G54" s="11">
        <f t="shared" ref="G54:H54" si="14">F54+F55</f>
        <v>181</v>
      </c>
      <c r="H54" s="4">
        <f t="shared" si="14"/>
        <v>183</v>
      </c>
      <c r="I54" s="11">
        <f>H54+H55</f>
        <v>184</v>
      </c>
      <c r="J54" s="4">
        <f>I54+I55</f>
        <v>185</v>
      </c>
    </row>
    <row r="55" spans="2:18" customFormat="1" ht="18" customHeight="1" x14ac:dyDescent="0.25">
      <c r="B55" s="68"/>
      <c r="C55" s="68"/>
      <c r="D55" s="4" t="s">
        <v>72</v>
      </c>
      <c r="E55" s="11">
        <v>4</v>
      </c>
      <c r="F55" s="11">
        <v>1</v>
      </c>
      <c r="G55" s="11">
        <v>2</v>
      </c>
      <c r="H55" s="4">
        <v>1</v>
      </c>
      <c r="I55" s="11">
        <v>1</v>
      </c>
      <c r="J55" s="4">
        <v>2</v>
      </c>
    </row>
    <row r="56" spans="2:18" customFormat="1" ht="18" customHeight="1" x14ac:dyDescent="0.25">
      <c r="B56" s="68"/>
      <c r="C56" s="68"/>
      <c r="D56" s="31" t="s">
        <v>488</v>
      </c>
      <c r="E56" s="11" t="s">
        <v>102</v>
      </c>
      <c r="F56" s="11">
        <v>0</v>
      </c>
      <c r="G56" s="30">
        <f>SUM(E55:J55)</f>
        <v>11</v>
      </c>
      <c r="H56" s="4">
        <v>0</v>
      </c>
      <c r="I56" s="11">
        <v>0</v>
      </c>
      <c r="J56" s="4"/>
    </row>
    <row r="57" spans="2:18" customFormat="1" ht="60" x14ac:dyDescent="0.25">
      <c r="B57" s="69"/>
      <c r="C57" s="69"/>
      <c r="D57" s="31" t="s">
        <v>74</v>
      </c>
      <c r="E57" s="11"/>
      <c r="F57" s="15" t="s">
        <v>124</v>
      </c>
      <c r="G57" s="11"/>
      <c r="H57" s="5" t="s">
        <v>75</v>
      </c>
      <c r="I57" s="8"/>
      <c r="J57" s="9" t="s">
        <v>163</v>
      </c>
    </row>
    <row r="58" spans="2:18" customFormat="1" ht="18" customHeight="1" x14ac:dyDescent="0.25">
      <c r="B58" s="14"/>
      <c r="C58" s="14"/>
      <c r="D58" s="13"/>
      <c r="E58" s="14"/>
      <c r="F58" s="14"/>
      <c r="G58" s="14"/>
    </row>
    <row r="59" spans="2:18" customFormat="1" ht="18" customHeight="1" x14ac:dyDescent="0.25">
      <c r="B59" s="74" t="s">
        <v>174</v>
      </c>
      <c r="C59" s="74" t="s">
        <v>172</v>
      </c>
      <c r="D59" s="76" t="s">
        <v>30</v>
      </c>
      <c r="E59" s="74" t="s">
        <v>50</v>
      </c>
      <c r="F59" s="74" t="s">
        <v>51</v>
      </c>
      <c r="G59" s="74" t="s">
        <v>52</v>
      </c>
      <c r="H59" s="12" t="s">
        <v>53</v>
      </c>
      <c r="I59" s="12" t="s">
        <v>54</v>
      </c>
    </row>
    <row r="60" spans="2:18" customFormat="1" ht="18" customHeight="1" x14ac:dyDescent="0.25">
      <c r="B60" s="75"/>
      <c r="C60" s="75"/>
      <c r="D60" s="76"/>
      <c r="E60" s="77"/>
      <c r="F60" s="77"/>
      <c r="G60" s="77"/>
      <c r="H60" s="4" t="s">
        <v>78</v>
      </c>
      <c r="I60" s="11" t="s">
        <v>89</v>
      </c>
    </row>
    <row r="61" spans="2:18" customFormat="1" ht="18" customHeight="1" x14ac:dyDescent="0.25">
      <c r="B61" s="67"/>
      <c r="C61" s="70" t="s">
        <v>791</v>
      </c>
      <c r="D61" s="4" t="s">
        <v>71</v>
      </c>
      <c r="E61" s="11">
        <f>J54+J55</f>
        <v>187</v>
      </c>
      <c r="F61" s="11">
        <f>E61+E62</f>
        <v>191</v>
      </c>
      <c r="G61" s="11">
        <f t="shared" ref="G61:H61" si="15">F61+F62</f>
        <v>192</v>
      </c>
      <c r="H61" s="4">
        <f t="shared" si="15"/>
        <v>194</v>
      </c>
      <c r="I61" s="11">
        <f>H61+H62</f>
        <v>195</v>
      </c>
    </row>
    <row r="62" spans="2:18" customFormat="1" ht="18" customHeight="1" x14ac:dyDescent="0.25">
      <c r="B62" s="68"/>
      <c r="C62" s="68"/>
      <c r="D62" s="4" t="s">
        <v>72</v>
      </c>
      <c r="E62" s="11">
        <v>4</v>
      </c>
      <c r="F62" s="11">
        <v>1</v>
      </c>
      <c r="G62" s="11">
        <v>2</v>
      </c>
      <c r="H62" s="4">
        <v>1</v>
      </c>
      <c r="I62" s="11">
        <v>2</v>
      </c>
    </row>
    <row r="63" spans="2:18" customFormat="1" ht="18" customHeight="1" x14ac:dyDescent="0.25">
      <c r="B63" s="68"/>
      <c r="C63" s="68"/>
      <c r="D63" s="31" t="s">
        <v>488</v>
      </c>
      <c r="E63" s="11" t="s">
        <v>103</v>
      </c>
      <c r="F63" s="11">
        <v>0</v>
      </c>
      <c r="G63" s="30">
        <f>SUM(E62:I62)</f>
        <v>10</v>
      </c>
      <c r="H63" s="4">
        <v>0</v>
      </c>
      <c r="I63" s="11"/>
    </row>
    <row r="64" spans="2:18" customFormat="1" ht="60" x14ac:dyDescent="0.25">
      <c r="B64" s="69"/>
      <c r="C64" s="69"/>
      <c r="D64" s="31" t="s">
        <v>74</v>
      </c>
      <c r="E64" s="11"/>
      <c r="F64" s="15" t="s">
        <v>124</v>
      </c>
      <c r="G64" s="11"/>
      <c r="H64" s="5" t="s">
        <v>75</v>
      </c>
      <c r="I64" s="7" t="s">
        <v>164</v>
      </c>
    </row>
    <row r="65" spans="2:19" customFormat="1" ht="18" customHeight="1" x14ac:dyDescent="0.25">
      <c r="B65" s="14"/>
      <c r="C65" s="14"/>
      <c r="D65" s="13"/>
      <c r="E65" s="14"/>
      <c r="F65" s="14"/>
      <c r="G65" s="14"/>
    </row>
    <row r="66" spans="2:19" s="35" customFormat="1" ht="18" customHeight="1" x14ac:dyDescent="0.25">
      <c r="B66" s="74" t="s">
        <v>174</v>
      </c>
      <c r="C66" s="74" t="s">
        <v>172</v>
      </c>
      <c r="D66" s="76" t="s">
        <v>413</v>
      </c>
      <c r="E66" s="74" t="s">
        <v>50</v>
      </c>
      <c r="F66" s="74" t="s">
        <v>414</v>
      </c>
      <c r="G66" s="74" t="s">
        <v>415</v>
      </c>
      <c r="H66" s="36" t="s">
        <v>416</v>
      </c>
      <c r="I66" s="36" t="s">
        <v>417</v>
      </c>
      <c r="J66" s="36" t="s">
        <v>418</v>
      </c>
      <c r="K66" s="36" t="s">
        <v>419</v>
      </c>
      <c r="L66" s="36" t="s">
        <v>420</v>
      </c>
      <c r="M66" s="36" t="s">
        <v>26</v>
      </c>
      <c r="N66" s="36" t="s">
        <v>421</v>
      </c>
      <c r="O66" s="36" t="s">
        <v>422</v>
      </c>
      <c r="P66" s="36" t="s">
        <v>423</v>
      </c>
      <c r="Q66" s="36" t="s">
        <v>16</v>
      </c>
      <c r="R66" s="36" t="s">
        <v>424</v>
      </c>
      <c r="S66" s="36" t="s">
        <v>425</v>
      </c>
    </row>
    <row r="67" spans="2:19" s="35" customFormat="1" ht="18" customHeight="1" x14ac:dyDescent="0.25">
      <c r="B67" s="75"/>
      <c r="C67" s="75"/>
      <c r="D67" s="76"/>
      <c r="E67" s="77"/>
      <c r="F67" s="77"/>
      <c r="G67" s="77"/>
      <c r="H67" s="31" t="s">
        <v>426</v>
      </c>
      <c r="I67" s="30" t="s">
        <v>427</v>
      </c>
      <c r="J67" s="30" t="s">
        <v>428</v>
      </c>
      <c r="K67" s="30" t="s">
        <v>3</v>
      </c>
      <c r="L67" s="30" t="s">
        <v>429</v>
      </c>
      <c r="M67" s="31" t="s">
        <v>430</v>
      </c>
      <c r="N67" s="30" t="s">
        <v>65</v>
      </c>
      <c r="O67" s="30" t="s">
        <v>431</v>
      </c>
      <c r="P67" s="31" t="s">
        <v>67</v>
      </c>
      <c r="Q67" s="31" t="s">
        <v>432</v>
      </c>
      <c r="R67" s="30" t="s">
        <v>7</v>
      </c>
      <c r="S67" s="30" t="s">
        <v>70</v>
      </c>
    </row>
    <row r="68" spans="2:19" s="35" customFormat="1" ht="18" customHeight="1" x14ac:dyDescent="0.25">
      <c r="B68" s="67"/>
      <c r="C68" s="70" t="s">
        <v>792</v>
      </c>
      <c r="D68" s="31" t="s">
        <v>433</v>
      </c>
      <c r="E68" s="30">
        <f>I61+I62</f>
        <v>197</v>
      </c>
      <c r="F68" s="30">
        <f>E68+E69</f>
        <v>201</v>
      </c>
      <c r="G68" s="30">
        <f t="shared" ref="G68:H68" si="16">F68+F69</f>
        <v>202</v>
      </c>
      <c r="H68" s="31">
        <f t="shared" si="16"/>
        <v>204</v>
      </c>
      <c r="I68" s="30">
        <f>H68+H69</f>
        <v>205</v>
      </c>
      <c r="J68" s="30">
        <f t="shared" ref="J68:S68" si="17">I68+I69</f>
        <v>207</v>
      </c>
      <c r="K68" s="30">
        <f t="shared" si="17"/>
        <v>208</v>
      </c>
      <c r="L68" s="30">
        <f t="shared" si="17"/>
        <v>210</v>
      </c>
      <c r="M68" s="31">
        <f t="shared" si="17"/>
        <v>211</v>
      </c>
      <c r="N68" s="30">
        <f t="shared" si="17"/>
        <v>212</v>
      </c>
      <c r="O68" s="30">
        <f t="shared" si="17"/>
        <v>214</v>
      </c>
      <c r="P68" s="31">
        <f t="shared" si="17"/>
        <v>215</v>
      </c>
      <c r="Q68" s="31">
        <f t="shared" si="17"/>
        <v>217</v>
      </c>
      <c r="R68" s="30">
        <f t="shared" si="17"/>
        <v>218</v>
      </c>
      <c r="S68" s="30">
        <f t="shared" si="17"/>
        <v>220</v>
      </c>
    </row>
    <row r="69" spans="2:19" s="35" customFormat="1" ht="18" customHeight="1" x14ac:dyDescent="0.25">
      <c r="B69" s="68"/>
      <c r="C69" s="68"/>
      <c r="D69" s="31" t="s">
        <v>434</v>
      </c>
      <c r="E69" s="30">
        <v>4</v>
      </c>
      <c r="F69" s="30">
        <v>1</v>
      </c>
      <c r="G69" s="30">
        <v>2</v>
      </c>
      <c r="H69" s="31">
        <v>1</v>
      </c>
      <c r="I69" s="30">
        <v>2</v>
      </c>
      <c r="J69" s="30">
        <v>1</v>
      </c>
      <c r="K69" s="30">
        <v>2</v>
      </c>
      <c r="L69" s="30">
        <v>1</v>
      </c>
      <c r="M69" s="31">
        <v>1</v>
      </c>
      <c r="N69" s="30">
        <v>2</v>
      </c>
      <c r="O69" s="30">
        <v>1</v>
      </c>
      <c r="P69" s="31">
        <v>2</v>
      </c>
      <c r="Q69" s="31">
        <v>1</v>
      </c>
      <c r="R69" s="30">
        <v>2</v>
      </c>
      <c r="S69" s="30">
        <v>1</v>
      </c>
    </row>
    <row r="70" spans="2:19" s="35" customFormat="1" ht="18" customHeight="1" x14ac:dyDescent="0.25">
      <c r="B70" s="68"/>
      <c r="C70" s="68"/>
      <c r="D70" s="31" t="s">
        <v>488</v>
      </c>
      <c r="E70" s="30" t="s">
        <v>435</v>
      </c>
      <c r="F70" s="30">
        <v>0</v>
      </c>
      <c r="G70" s="30">
        <f>SUM(E69:S69)</f>
        <v>24</v>
      </c>
      <c r="H70" s="31">
        <v>0</v>
      </c>
      <c r="I70" s="30"/>
      <c r="J70" s="30"/>
      <c r="K70" s="30"/>
      <c r="L70" s="30"/>
      <c r="M70" s="31"/>
      <c r="N70" s="30"/>
      <c r="O70" s="30"/>
      <c r="P70" s="31"/>
      <c r="Q70" s="31"/>
      <c r="R70" s="30"/>
      <c r="S70" s="30"/>
    </row>
    <row r="71" spans="2:19" s="35" customFormat="1" ht="60" x14ac:dyDescent="0.25">
      <c r="B71" s="69"/>
      <c r="C71" s="69"/>
      <c r="D71" s="31" t="s">
        <v>74</v>
      </c>
      <c r="E71" s="30"/>
      <c r="F71" s="15" t="s">
        <v>436</v>
      </c>
      <c r="G71" s="30"/>
      <c r="H71" s="5" t="s">
        <v>437</v>
      </c>
      <c r="I71" s="2"/>
      <c r="J71" s="3"/>
      <c r="K71" s="2"/>
      <c r="L71" s="3"/>
      <c r="M71" s="5"/>
      <c r="N71" s="2"/>
      <c r="O71" s="2"/>
      <c r="P71" s="5"/>
      <c r="Q71" s="5"/>
      <c r="R71" s="2"/>
      <c r="S71" s="2"/>
    </row>
    <row r="72" spans="2:19" s="35" customFormat="1" ht="18" customHeight="1" x14ac:dyDescent="0.25">
      <c r="B72" s="41"/>
      <c r="C72" s="41"/>
      <c r="D72" s="41"/>
      <c r="E72" s="41"/>
      <c r="F72" s="41"/>
      <c r="G72" s="41"/>
      <c r="H72" s="41"/>
      <c r="I72" s="41"/>
      <c r="J72" s="41"/>
      <c r="K72" s="41"/>
      <c r="L72" s="41"/>
      <c r="M72" s="41"/>
      <c r="N72" s="41"/>
      <c r="O72" s="41"/>
      <c r="P72" s="41"/>
      <c r="Q72" s="41"/>
      <c r="R72" s="41"/>
      <c r="S72" s="41"/>
    </row>
    <row r="73" spans="2:19" s="35" customFormat="1" ht="18" customHeight="1" x14ac:dyDescent="0.25">
      <c r="B73" s="74" t="s">
        <v>174</v>
      </c>
      <c r="C73" s="74" t="s">
        <v>172</v>
      </c>
      <c r="D73" s="76" t="s">
        <v>104</v>
      </c>
      <c r="E73" s="74" t="s">
        <v>50</v>
      </c>
      <c r="F73" s="74" t="s">
        <v>51</v>
      </c>
      <c r="G73" s="74" t="s">
        <v>52</v>
      </c>
      <c r="H73" s="12" t="s">
        <v>53</v>
      </c>
      <c r="I73" s="12" t="s">
        <v>54</v>
      </c>
      <c r="J73" s="41"/>
      <c r="K73" s="41"/>
      <c r="L73" s="41"/>
      <c r="M73" s="41"/>
      <c r="N73" s="41"/>
      <c r="O73" s="41"/>
      <c r="P73" s="41"/>
      <c r="Q73" s="41"/>
      <c r="R73" s="41"/>
      <c r="S73" s="41"/>
    </row>
    <row r="74" spans="2:19" s="35" customFormat="1" ht="18" customHeight="1" x14ac:dyDescent="0.25">
      <c r="B74" s="75"/>
      <c r="C74" s="75"/>
      <c r="D74" s="76"/>
      <c r="E74" s="77"/>
      <c r="F74" s="77"/>
      <c r="G74" s="77"/>
      <c r="H74" s="4" t="s">
        <v>78</v>
      </c>
      <c r="I74" s="11" t="s">
        <v>105</v>
      </c>
      <c r="J74" s="41"/>
      <c r="K74" s="41"/>
      <c r="L74" s="41"/>
      <c r="M74" s="41"/>
      <c r="N74" s="41"/>
      <c r="O74" s="41"/>
      <c r="P74" s="41"/>
      <c r="Q74" s="41"/>
      <c r="R74" s="41"/>
      <c r="S74" s="41"/>
    </row>
    <row r="75" spans="2:19" s="35" customFormat="1" ht="18" customHeight="1" x14ac:dyDescent="0.25">
      <c r="B75" s="67"/>
      <c r="C75" s="70" t="s">
        <v>788</v>
      </c>
      <c r="D75" s="4" t="s">
        <v>71</v>
      </c>
      <c r="E75" s="30">
        <f>S68+S69</f>
        <v>221</v>
      </c>
      <c r="F75" s="11">
        <f>E75+E76</f>
        <v>225</v>
      </c>
      <c r="G75" s="11">
        <f>F75+F76</f>
        <v>226</v>
      </c>
      <c r="H75" s="4">
        <f t="shared" ref="H75" si="18">G75+G76</f>
        <v>228</v>
      </c>
      <c r="I75" s="11">
        <f>H75+H76</f>
        <v>229</v>
      </c>
      <c r="J75" s="41"/>
      <c r="K75" s="41"/>
      <c r="L75" s="41"/>
      <c r="M75" s="41"/>
      <c r="N75" s="41"/>
      <c r="O75" s="41"/>
      <c r="P75" s="41"/>
      <c r="Q75" s="41"/>
      <c r="R75" s="41"/>
      <c r="S75" s="41"/>
    </row>
    <row r="76" spans="2:19" s="35" customFormat="1" ht="18" customHeight="1" x14ac:dyDescent="0.25">
      <c r="B76" s="68"/>
      <c r="C76" s="68"/>
      <c r="D76" s="4" t="s">
        <v>72</v>
      </c>
      <c r="E76" s="11">
        <v>4</v>
      </c>
      <c r="F76" s="11">
        <v>1</v>
      </c>
      <c r="G76" s="11">
        <v>2</v>
      </c>
      <c r="H76" s="4">
        <v>1</v>
      </c>
      <c r="I76" s="11">
        <v>2</v>
      </c>
      <c r="J76" s="41"/>
      <c r="K76" s="41"/>
      <c r="L76" s="41"/>
      <c r="M76" s="41"/>
      <c r="N76" s="41"/>
      <c r="O76" s="41"/>
      <c r="P76" s="41"/>
      <c r="Q76" s="41"/>
      <c r="R76" s="41"/>
      <c r="S76" s="41"/>
    </row>
    <row r="77" spans="2:19" s="35" customFormat="1" ht="18" customHeight="1" x14ac:dyDescent="0.25">
      <c r="B77" s="68"/>
      <c r="C77" s="68"/>
      <c r="D77" s="31" t="s">
        <v>488</v>
      </c>
      <c r="E77" s="11" t="s">
        <v>106</v>
      </c>
      <c r="F77" s="11">
        <v>0</v>
      </c>
      <c r="G77" s="30">
        <f>SUM(E76:I76)</f>
        <v>10</v>
      </c>
      <c r="H77" s="4">
        <v>0</v>
      </c>
      <c r="I77" s="11"/>
      <c r="J77" s="41"/>
      <c r="K77" s="41"/>
      <c r="L77" s="41"/>
      <c r="M77" s="41"/>
      <c r="N77" s="41"/>
      <c r="O77" s="41"/>
      <c r="P77" s="41"/>
      <c r="Q77" s="41"/>
      <c r="R77" s="41"/>
      <c r="S77" s="41"/>
    </row>
    <row r="78" spans="2:19" s="35" customFormat="1" ht="60" x14ac:dyDescent="0.25">
      <c r="B78" s="69"/>
      <c r="C78" s="69"/>
      <c r="D78" s="31" t="s">
        <v>74</v>
      </c>
      <c r="E78" s="11"/>
      <c r="F78" s="15" t="s">
        <v>124</v>
      </c>
      <c r="G78" s="11"/>
      <c r="H78" s="5" t="s">
        <v>75</v>
      </c>
      <c r="I78" s="7" t="s">
        <v>165</v>
      </c>
      <c r="J78" s="41"/>
      <c r="K78" s="41"/>
      <c r="L78" s="41"/>
      <c r="M78" s="41"/>
      <c r="N78" s="41"/>
      <c r="O78" s="41"/>
      <c r="P78" s="41"/>
      <c r="Q78" s="41"/>
      <c r="R78" s="41"/>
      <c r="S78" s="41"/>
    </row>
    <row r="79" spans="2:19" s="35" customFormat="1" ht="18" customHeight="1" x14ac:dyDescent="0.25">
      <c r="B79" s="41"/>
      <c r="C79" s="41"/>
      <c r="D79" s="41"/>
      <c r="E79" s="41"/>
      <c r="F79" s="41"/>
      <c r="G79" s="41"/>
      <c r="H79" s="41"/>
      <c r="I79" s="41"/>
      <c r="J79" s="41"/>
      <c r="K79" s="41"/>
      <c r="L79" s="41"/>
      <c r="M79" s="41"/>
      <c r="N79" s="41"/>
      <c r="O79" s="41"/>
      <c r="P79" s="41"/>
      <c r="Q79" s="41"/>
      <c r="R79" s="41"/>
      <c r="S79" s="41"/>
    </row>
    <row r="80" spans="2:19" s="35" customFormat="1" ht="18" customHeight="1" x14ac:dyDescent="0.25">
      <c r="B80" s="74" t="s">
        <v>174</v>
      </c>
      <c r="C80" s="74" t="s">
        <v>172</v>
      </c>
      <c r="D80" s="76" t="s">
        <v>454</v>
      </c>
      <c r="E80" s="74" t="s">
        <v>455</v>
      </c>
      <c r="F80" s="74" t="s">
        <v>414</v>
      </c>
      <c r="G80" s="74" t="s">
        <v>52</v>
      </c>
      <c r="H80" s="36" t="s">
        <v>416</v>
      </c>
      <c r="I80" s="36" t="s">
        <v>456</v>
      </c>
      <c r="Q80" s="41"/>
      <c r="R80" s="41"/>
      <c r="S80" s="41"/>
    </row>
    <row r="81" spans="2:19" s="35" customFormat="1" ht="18" customHeight="1" x14ac:dyDescent="0.25">
      <c r="B81" s="75"/>
      <c r="C81" s="75"/>
      <c r="D81" s="76"/>
      <c r="E81" s="77"/>
      <c r="F81" s="77"/>
      <c r="G81" s="77"/>
      <c r="H81" s="31" t="s">
        <v>426</v>
      </c>
      <c r="I81" s="30" t="s">
        <v>457</v>
      </c>
      <c r="Q81" s="41"/>
      <c r="R81" s="41"/>
      <c r="S81" s="41"/>
    </row>
    <row r="82" spans="2:19" s="35" customFormat="1" ht="18" customHeight="1" x14ac:dyDescent="0.25">
      <c r="B82" s="67"/>
      <c r="C82" s="70" t="s">
        <v>796</v>
      </c>
      <c r="D82" s="31" t="s">
        <v>433</v>
      </c>
      <c r="E82" s="30">
        <f>I75+I76</f>
        <v>231</v>
      </c>
      <c r="F82" s="30">
        <f>E82+E83</f>
        <v>235</v>
      </c>
      <c r="G82" s="30">
        <f>F82+F83</f>
        <v>236</v>
      </c>
      <c r="H82" s="31">
        <f t="shared" ref="H82:I82" si="19">G82+G83</f>
        <v>238</v>
      </c>
      <c r="I82" s="30">
        <f t="shared" si="19"/>
        <v>239</v>
      </c>
      <c r="Q82" s="41"/>
      <c r="R82" s="41"/>
      <c r="S82" s="41"/>
    </row>
    <row r="83" spans="2:19" s="35" customFormat="1" ht="18" customHeight="1" x14ac:dyDescent="0.25">
      <c r="B83" s="68"/>
      <c r="C83" s="79"/>
      <c r="D83" s="31" t="s">
        <v>434</v>
      </c>
      <c r="E83" s="30">
        <v>4</v>
      </c>
      <c r="F83" s="30">
        <v>1</v>
      </c>
      <c r="G83" s="30">
        <v>2</v>
      </c>
      <c r="H83" s="31">
        <v>1</v>
      </c>
      <c r="I83" s="30">
        <v>1</v>
      </c>
      <c r="Q83" s="41"/>
      <c r="R83" s="41"/>
      <c r="S83" s="41"/>
    </row>
    <row r="84" spans="2:19" s="35" customFormat="1" ht="18" customHeight="1" x14ac:dyDescent="0.25">
      <c r="B84" s="68"/>
      <c r="C84" s="79"/>
      <c r="D84" s="31" t="s">
        <v>488</v>
      </c>
      <c r="E84" s="30" t="s">
        <v>458</v>
      </c>
      <c r="F84" s="30">
        <v>0</v>
      </c>
      <c r="G84" s="30">
        <f>SUM(E83:I83)</f>
        <v>9</v>
      </c>
      <c r="H84" s="31">
        <v>0</v>
      </c>
      <c r="I84" s="30" t="s">
        <v>459</v>
      </c>
      <c r="Q84" s="41"/>
      <c r="R84" s="41"/>
      <c r="S84" s="41"/>
    </row>
    <row r="85" spans="2:19" s="35" customFormat="1" ht="60" x14ac:dyDescent="0.25">
      <c r="B85" s="69"/>
      <c r="C85" s="75"/>
      <c r="D85" s="31" t="s">
        <v>74</v>
      </c>
      <c r="E85" s="30"/>
      <c r="F85" s="15" t="s">
        <v>436</v>
      </c>
      <c r="G85" s="30"/>
      <c r="H85" s="5" t="s">
        <v>437</v>
      </c>
      <c r="I85" s="2"/>
      <c r="Q85" s="41"/>
      <c r="R85" s="41"/>
      <c r="S85" s="41"/>
    </row>
    <row r="86" spans="2:19" s="35" customFormat="1" ht="18" customHeight="1" x14ac:dyDescent="0.25">
      <c r="B86" s="39"/>
      <c r="C86" s="39"/>
      <c r="D86" s="39"/>
      <c r="E86" s="1"/>
      <c r="F86" s="1"/>
      <c r="G86" s="1"/>
      <c r="H86" s="1"/>
      <c r="I86" s="40"/>
      <c r="Q86" s="41"/>
      <c r="R86" s="41"/>
      <c r="S86" s="41"/>
    </row>
    <row r="87" spans="2:19" s="35" customFormat="1" ht="18" customHeight="1" x14ac:dyDescent="0.25">
      <c r="B87" s="74" t="s">
        <v>174</v>
      </c>
      <c r="C87" s="74" t="s">
        <v>172</v>
      </c>
      <c r="D87" s="76" t="s">
        <v>438</v>
      </c>
      <c r="E87" s="74" t="s">
        <v>50</v>
      </c>
      <c r="F87" s="74" t="s">
        <v>51</v>
      </c>
      <c r="G87" s="74" t="s">
        <v>52</v>
      </c>
      <c r="H87" s="36" t="s">
        <v>9</v>
      </c>
      <c r="I87" s="36" t="s">
        <v>24</v>
      </c>
      <c r="J87" s="36" t="s">
        <v>17</v>
      </c>
      <c r="K87" s="36" t="s">
        <v>11</v>
      </c>
      <c r="L87" s="36" t="s">
        <v>439</v>
      </c>
      <c r="M87" s="36" t="s">
        <v>440</v>
      </c>
      <c r="N87" s="36" t="s">
        <v>12</v>
      </c>
      <c r="O87" s="36" t="s">
        <v>87</v>
      </c>
      <c r="P87" s="36" t="s">
        <v>58</v>
      </c>
      <c r="Q87" s="41"/>
      <c r="R87" s="41"/>
      <c r="S87" s="41"/>
    </row>
    <row r="88" spans="2:19" s="35" customFormat="1" ht="18" customHeight="1" x14ac:dyDescent="0.25">
      <c r="B88" s="75"/>
      <c r="C88" s="75"/>
      <c r="D88" s="76"/>
      <c r="E88" s="77"/>
      <c r="F88" s="77"/>
      <c r="G88" s="77"/>
      <c r="H88" s="31" t="s">
        <v>0</v>
      </c>
      <c r="I88" s="30" t="s">
        <v>441</v>
      </c>
      <c r="J88" s="30" t="s">
        <v>442</v>
      </c>
      <c r="K88" s="30" t="s">
        <v>443</v>
      </c>
      <c r="L88" s="30" t="s">
        <v>444</v>
      </c>
      <c r="M88" s="30" t="s">
        <v>445</v>
      </c>
      <c r="N88" s="30" t="s">
        <v>460</v>
      </c>
      <c r="O88" s="30" t="s">
        <v>446</v>
      </c>
      <c r="P88" s="30" t="s">
        <v>451</v>
      </c>
      <c r="Q88" s="41"/>
      <c r="R88" s="41"/>
      <c r="S88" s="41"/>
    </row>
    <row r="89" spans="2:19" s="35" customFormat="1" ht="18" customHeight="1" x14ac:dyDescent="0.25">
      <c r="B89" s="67"/>
      <c r="C89" s="70" t="s">
        <v>793</v>
      </c>
      <c r="D89" s="31" t="s">
        <v>71</v>
      </c>
      <c r="E89" s="30">
        <f>I82+I83</f>
        <v>240</v>
      </c>
      <c r="F89" s="30">
        <f>E89+E90</f>
        <v>244</v>
      </c>
      <c r="G89" s="30">
        <f t="shared" ref="G89:P89" si="20">F89+F90</f>
        <v>245</v>
      </c>
      <c r="H89" s="31">
        <f t="shared" si="20"/>
        <v>247</v>
      </c>
      <c r="I89" s="30">
        <f t="shared" si="20"/>
        <v>248</v>
      </c>
      <c r="J89" s="30">
        <f t="shared" si="20"/>
        <v>249</v>
      </c>
      <c r="K89" s="30">
        <f t="shared" si="20"/>
        <v>251</v>
      </c>
      <c r="L89" s="30">
        <f t="shared" si="20"/>
        <v>253</v>
      </c>
      <c r="M89" s="30">
        <f t="shared" si="20"/>
        <v>255</v>
      </c>
      <c r="N89" s="30">
        <f t="shared" si="20"/>
        <v>257</v>
      </c>
      <c r="O89" s="30">
        <f t="shared" si="20"/>
        <v>259</v>
      </c>
      <c r="P89" s="30">
        <f t="shared" si="20"/>
        <v>261</v>
      </c>
      <c r="Q89" s="41"/>
      <c r="R89" s="41"/>
      <c r="S89" s="41"/>
    </row>
    <row r="90" spans="2:19" s="35" customFormat="1" ht="18" customHeight="1" x14ac:dyDescent="0.25">
      <c r="B90" s="68"/>
      <c r="C90" s="79"/>
      <c r="D90" s="31" t="s">
        <v>434</v>
      </c>
      <c r="E90" s="30">
        <v>4</v>
      </c>
      <c r="F90" s="30">
        <v>1</v>
      </c>
      <c r="G90" s="30">
        <v>2</v>
      </c>
      <c r="H90" s="31">
        <v>1</v>
      </c>
      <c r="I90" s="30">
        <v>1</v>
      </c>
      <c r="J90" s="30">
        <v>2</v>
      </c>
      <c r="K90" s="30">
        <v>2</v>
      </c>
      <c r="L90" s="30">
        <v>2</v>
      </c>
      <c r="M90" s="30">
        <v>2</v>
      </c>
      <c r="N90" s="30">
        <v>2</v>
      </c>
      <c r="O90" s="30">
        <v>2</v>
      </c>
      <c r="P90" s="30">
        <v>2</v>
      </c>
      <c r="Q90" s="41"/>
      <c r="R90" s="41"/>
      <c r="S90" s="41"/>
    </row>
    <row r="91" spans="2:19" s="35" customFormat="1" ht="18" customHeight="1" x14ac:dyDescent="0.25">
      <c r="B91" s="68"/>
      <c r="C91" s="79"/>
      <c r="D91" s="31" t="s">
        <v>488</v>
      </c>
      <c r="E91" s="30" t="s">
        <v>461</v>
      </c>
      <c r="F91" s="30">
        <v>0</v>
      </c>
      <c r="G91" s="30">
        <f>SUM(E90:P90)</f>
        <v>23</v>
      </c>
      <c r="H91" s="31">
        <v>0</v>
      </c>
      <c r="I91" s="30" t="s">
        <v>462</v>
      </c>
      <c r="J91" s="30" t="s">
        <v>463</v>
      </c>
      <c r="K91" s="30" t="s">
        <v>463</v>
      </c>
      <c r="L91" s="30" t="s">
        <v>463</v>
      </c>
      <c r="M91" s="30" t="s">
        <v>447</v>
      </c>
      <c r="N91" s="30" t="s">
        <v>463</v>
      </c>
      <c r="O91" s="30" t="s">
        <v>463</v>
      </c>
      <c r="P91" s="30" t="s">
        <v>463</v>
      </c>
      <c r="Q91" s="41"/>
      <c r="R91" s="41"/>
      <c r="S91" s="41"/>
    </row>
    <row r="92" spans="2:19" s="35" customFormat="1" ht="60" x14ac:dyDescent="0.25">
      <c r="B92" s="69"/>
      <c r="C92" s="75"/>
      <c r="D92" s="31" t="s">
        <v>74</v>
      </c>
      <c r="E92" s="30"/>
      <c r="F92" s="15" t="s">
        <v>436</v>
      </c>
      <c r="G92" s="30"/>
      <c r="H92" s="5" t="s">
        <v>75</v>
      </c>
      <c r="I92" s="2"/>
      <c r="J92" s="2"/>
      <c r="K92" s="2"/>
      <c r="L92" s="71"/>
      <c r="M92" s="72"/>
      <c r="N92" s="71"/>
      <c r="O92" s="73"/>
      <c r="P92" s="72"/>
      <c r="Q92" s="41"/>
      <c r="R92" s="41"/>
      <c r="S92" s="41"/>
    </row>
    <row r="93" spans="2:19" s="35" customFormat="1" ht="18" customHeight="1" x14ac:dyDescent="0.25">
      <c r="E93" s="1"/>
      <c r="F93" s="1"/>
      <c r="G93" s="1"/>
      <c r="H93" s="1"/>
      <c r="Q93" s="41"/>
      <c r="R93" s="41"/>
      <c r="S93" s="41"/>
    </row>
    <row r="94" spans="2:19" s="35" customFormat="1" ht="18" customHeight="1" x14ac:dyDescent="0.25">
      <c r="B94" s="74" t="s">
        <v>174</v>
      </c>
      <c r="C94" s="74" t="s">
        <v>172</v>
      </c>
      <c r="D94" s="76" t="s">
        <v>464</v>
      </c>
      <c r="E94" s="74" t="s">
        <v>455</v>
      </c>
      <c r="F94" s="74" t="s">
        <v>414</v>
      </c>
      <c r="G94" s="74" t="s">
        <v>415</v>
      </c>
      <c r="H94" s="36" t="s">
        <v>416</v>
      </c>
      <c r="I94" s="36" t="s">
        <v>456</v>
      </c>
      <c r="J94" s="36" t="s">
        <v>465</v>
      </c>
      <c r="K94" s="36" t="s">
        <v>419</v>
      </c>
      <c r="L94" s="36" t="s">
        <v>466</v>
      </c>
      <c r="M94" s="36" t="s">
        <v>467</v>
      </c>
      <c r="N94" s="36" t="s">
        <v>468</v>
      </c>
      <c r="O94" s="36" t="s">
        <v>469</v>
      </c>
      <c r="P94" s="36" t="s">
        <v>423</v>
      </c>
      <c r="Q94" s="41"/>
      <c r="R94" s="41"/>
      <c r="S94" s="41"/>
    </row>
    <row r="95" spans="2:19" s="35" customFormat="1" ht="18" customHeight="1" x14ac:dyDescent="0.25">
      <c r="B95" s="75"/>
      <c r="C95" s="75"/>
      <c r="D95" s="76"/>
      <c r="E95" s="77"/>
      <c r="F95" s="77"/>
      <c r="G95" s="77"/>
      <c r="H95" s="31" t="s">
        <v>0</v>
      </c>
      <c r="I95" s="30" t="s">
        <v>470</v>
      </c>
      <c r="J95" s="30" t="s">
        <v>471</v>
      </c>
      <c r="K95" s="30" t="s">
        <v>472</v>
      </c>
      <c r="L95" s="30" t="s">
        <v>473</v>
      </c>
      <c r="M95" s="30" t="s">
        <v>474</v>
      </c>
      <c r="N95" s="30" t="s">
        <v>475</v>
      </c>
      <c r="O95" s="30" t="s">
        <v>476</v>
      </c>
      <c r="P95" s="30" t="s">
        <v>477</v>
      </c>
      <c r="Q95" s="41"/>
      <c r="R95" s="41"/>
      <c r="S95" s="41"/>
    </row>
    <row r="96" spans="2:19" s="35" customFormat="1" ht="18" customHeight="1" x14ac:dyDescent="0.25">
      <c r="B96" s="67"/>
      <c r="C96" s="70" t="s">
        <v>794</v>
      </c>
      <c r="D96" s="31" t="s">
        <v>433</v>
      </c>
      <c r="E96" s="30">
        <f>P89+P90</f>
        <v>263</v>
      </c>
      <c r="F96" s="30">
        <f>E96+E97</f>
        <v>267</v>
      </c>
      <c r="G96" s="30">
        <f t="shared" ref="G96:P96" si="21">F96+F97</f>
        <v>268</v>
      </c>
      <c r="H96" s="31">
        <f t="shared" si="21"/>
        <v>270</v>
      </c>
      <c r="I96" s="30">
        <f t="shared" si="21"/>
        <v>271</v>
      </c>
      <c r="J96" s="30">
        <f t="shared" si="21"/>
        <v>272</v>
      </c>
      <c r="K96" s="30">
        <f t="shared" si="21"/>
        <v>274</v>
      </c>
      <c r="L96" s="30">
        <f t="shared" si="21"/>
        <v>276</v>
      </c>
      <c r="M96" s="30">
        <f t="shared" si="21"/>
        <v>278</v>
      </c>
      <c r="N96" s="30">
        <f t="shared" si="21"/>
        <v>280</v>
      </c>
      <c r="O96" s="30">
        <f t="shared" si="21"/>
        <v>282</v>
      </c>
      <c r="P96" s="30">
        <f t="shared" si="21"/>
        <v>284</v>
      </c>
      <c r="Q96" s="41"/>
      <c r="R96" s="41"/>
      <c r="S96" s="41"/>
    </row>
    <row r="97" spans="2:19" s="35" customFormat="1" ht="18" customHeight="1" x14ac:dyDescent="0.25">
      <c r="B97" s="68"/>
      <c r="C97" s="79"/>
      <c r="D97" s="31" t="s">
        <v>434</v>
      </c>
      <c r="E97" s="30">
        <v>4</v>
      </c>
      <c r="F97" s="30">
        <v>1</v>
      </c>
      <c r="G97" s="30">
        <v>2</v>
      </c>
      <c r="H97" s="31">
        <v>1</v>
      </c>
      <c r="I97" s="30">
        <v>1</v>
      </c>
      <c r="J97" s="30">
        <v>2</v>
      </c>
      <c r="K97" s="30">
        <v>2</v>
      </c>
      <c r="L97" s="30">
        <v>2</v>
      </c>
      <c r="M97" s="30">
        <v>2</v>
      </c>
      <c r="N97" s="30">
        <v>2</v>
      </c>
      <c r="O97" s="30">
        <v>2</v>
      </c>
      <c r="P97" s="30">
        <v>2</v>
      </c>
      <c r="Q97" s="41"/>
      <c r="R97" s="41"/>
      <c r="S97" s="41"/>
    </row>
    <row r="98" spans="2:19" s="35" customFormat="1" ht="15.75" x14ac:dyDescent="0.25">
      <c r="B98" s="68"/>
      <c r="C98" s="79"/>
      <c r="D98" s="31" t="s">
        <v>488</v>
      </c>
      <c r="E98" s="30" t="s">
        <v>478</v>
      </c>
      <c r="F98" s="30">
        <v>0</v>
      </c>
      <c r="G98" s="30">
        <f>SUM(E97:P97)</f>
        <v>23</v>
      </c>
      <c r="H98" s="31">
        <v>0</v>
      </c>
      <c r="I98" s="30" t="s">
        <v>462</v>
      </c>
      <c r="J98" s="30" t="s">
        <v>463</v>
      </c>
      <c r="K98" s="30" t="s">
        <v>463</v>
      </c>
      <c r="L98" s="30" t="s">
        <v>463</v>
      </c>
      <c r="M98" s="30" t="s">
        <v>463</v>
      </c>
      <c r="N98" s="30" t="s">
        <v>463</v>
      </c>
      <c r="O98" s="30" t="s">
        <v>447</v>
      </c>
      <c r="P98" s="30" t="s">
        <v>463</v>
      </c>
      <c r="Q98" s="41"/>
      <c r="R98" s="41"/>
      <c r="S98" s="41"/>
    </row>
    <row r="99" spans="2:19" s="35" customFormat="1" ht="60" x14ac:dyDescent="0.25">
      <c r="B99" s="69"/>
      <c r="C99" s="75"/>
      <c r="D99" s="31" t="s">
        <v>74</v>
      </c>
      <c r="E99" s="30"/>
      <c r="F99" s="15" t="s">
        <v>436</v>
      </c>
      <c r="G99" s="30"/>
      <c r="H99" s="5" t="s">
        <v>437</v>
      </c>
      <c r="I99" s="2"/>
      <c r="J99" s="2"/>
      <c r="K99" s="2"/>
      <c r="L99" s="71"/>
      <c r="M99" s="72"/>
      <c r="N99" s="71"/>
      <c r="O99" s="73"/>
      <c r="P99" s="72"/>
      <c r="Q99" s="41"/>
      <c r="R99" s="41"/>
      <c r="S99" s="41"/>
    </row>
    <row r="100" spans="2:19" s="35" customFormat="1" ht="18" customHeight="1" x14ac:dyDescent="0.25">
      <c r="E100" s="1"/>
      <c r="F100" s="1"/>
      <c r="G100" s="1"/>
      <c r="H100" s="1"/>
      <c r="Q100" s="41"/>
      <c r="R100" s="41"/>
      <c r="S100" s="41"/>
    </row>
    <row r="101" spans="2:19" s="35" customFormat="1" ht="18" customHeight="1" x14ac:dyDescent="0.25">
      <c r="B101" s="74" t="s">
        <v>479</v>
      </c>
      <c r="C101" s="74" t="s">
        <v>172</v>
      </c>
      <c r="D101" s="76" t="s">
        <v>480</v>
      </c>
      <c r="E101" s="74" t="s">
        <v>455</v>
      </c>
      <c r="F101" s="74" t="s">
        <v>414</v>
      </c>
      <c r="G101" s="74" t="s">
        <v>415</v>
      </c>
      <c r="H101" s="36" t="s">
        <v>9</v>
      </c>
      <c r="I101" s="36" t="s">
        <v>456</v>
      </c>
      <c r="J101" s="36" t="s">
        <v>465</v>
      </c>
      <c r="K101" s="36" t="s">
        <v>419</v>
      </c>
      <c r="L101" s="36" t="s">
        <v>466</v>
      </c>
      <c r="M101" s="36" t="s">
        <v>467</v>
      </c>
      <c r="N101" s="36" t="s">
        <v>421</v>
      </c>
      <c r="O101" s="36" t="s">
        <v>469</v>
      </c>
      <c r="P101" s="36" t="s">
        <v>423</v>
      </c>
      <c r="Q101" s="41"/>
      <c r="R101" s="41"/>
      <c r="S101" s="41"/>
    </row>
    <row r="102" spans="2:19" s="35" customFormat="1" ht="18" customHeight="1" x14ac:dyDescent="0.25">
      <c r="B102" s="75"/>
      <c r="C102" s="75"/>
      <c r="D102" s="76"/>
      <c r="E102" s="77"/>
      <c r="F102" s="77"/>
      <c r="G102" s="77"/>
      <c r="H102" s="31" t="s">
        <v>426</v>
      </c>
      <c r="I102" s="30" t="s">
        <v>470</v>
      </c>
      <c r="J102" s="30" t="s">
        <v>471</v>
      </c>
      <c r="K102" s="30" t="s">
        <v>443</v>
      </c>
      <c r="L102" s="30" t="s">
        <v>444</v>
      </c>
      <c r="M102" s="30" t="s">
        <v>474</v>
      </c>
      <c r="N102" s="30" t="s">
        <v>475</v>
      </c>
      <c r="O102" s="30" t="s">
        <v>476</v>
      </c>
      <c r="P102" s="30" t="s">
        <v>477</v>
      </c>
      <c r="Q102" s="41"/>
      <c r="R102" s="41"/>
      <c r="S102" s="41"/>
    </row>
    <row r="103" spans="2:19" s="35" customFormat="1" ht="18" customHeight="1" x14ac:dyDescent="0.25">
      <c r="B103" s="67"/>
      <c r="C103" s="70" t="s">
        <v>795</v>
      </c>
      <c r="D103" s="31" t="s">
        <v>433</v>
      </c>
      <c r="E103" s="30">
        <f>P96+P97</f>
        <v>286</v>
      </c>
      <c r="F103" s="30">
        <f>E103+E104</f>
        <v>290</v>
      </c>
      <c r="G103" s="30">
        <f t="shared" ref="G103:P103" si="22">F103+F104</f>
        <v>291</v>
      </c>
      <c r="H103" s="31">
        <f t="shared" si="22"/>
        <v>293</v>
      </c>
      <c r="I103" s="30">
        <f t="shared" si="22"/>
        <v>294</v>
      </c>
      <c r="J103" s="30">
        <f t="shared" si="22"/>
        <v>295</v>
      </c>
      <c r="K103" s="30">
        <f t="shared" si="22"/>
        <v>297</v>
      </c>
      <c r="L103" s="30">
        <f t="shared" si="22"/>
        <v>299</v>
      </c>
      <c r="M103" s="30">
        <f t="shared" si="22"/>
        <v>301</v>
      </c>
      <c r="N103" s="30">
        <f t="shared" si="22"/>
        <v>303</v>
      </c>
      <c r="O103" s="30">
        <f t="shared" si="22"/>
        <v>305</v>
      </c>
      <c r="P103" s="30">
        <f t="shared" si="22"/>
        <v>307</v>
      </c>
      <c r="Q103" s="41"/>
      <c r="R103" s="41"/>
      <c r="S103" s="41"/>
    </row>
    <row r="104" spans="2:19" s="35" customFormat="1" ht="18" customHeight="1" x14ac:dyDescent="0.25">
      <c r="B104" s="68"/>
      <c r="C104" s="79"/>
      <c r="D104" s="31" t="s">
        <v>434</v>
      </c>
      <c r="E104" s="30">
        <v>4</v>
      </c>
      <c r="F104" s="30">
        <v>1</v>
      </c>
      <c r="G104" s="30">
        <v>2</v>
      </c>
      <c r="H104" s="31">
        <v>1</v>
      </c>
      <c r="I104" s="30">
        <v>1</v>
      </c>
      <c r="J104" s="30">
        <v>2</v>
      </c>
      <c r="K104" s="30">
        <v>2</v>
      </c>
      <c r="L104" s="30">
        <v>2</v>
      </c>
      <c r="M104" s="30">
        <v>2</v>
      </c>
      <c r="N104" s="30">
        <v>2</v>
      </c>
      <c r="O104" s="30">
        <v>2</v>
      </c>
      <c r="P104" s="30">
        <v>2</v>
      </c>
      <c r="Q104" s="41"/>
      <c r="R104" s="41"/>
      <c r="S104" s="41"/>
    </row>
    <row r="105" spans="2:19" s="35" customFormat="1" ht="18" customHeight="1" x14ac:dyDescent="0.25">
      <c r="B105" s="68"/>
      <c r="C105" s="79"/>
      <c r="D105" s="31" t="s">
        <v>488</v>
      </c>
      <c r="E105" s="30" t="s">
        <v>481</v>
      </c>
      <c r="F105" s="30">
        <v>0</v>
      </c>
      <c r="G105" s="30">
        <f>SUM(E104:P104)</f>
        <v>23</v>
      </c>
      <c r="H105" s="31">
        <v>0</v>
      </c>
      <c r="I105" s="30" t="s">
        <v>462</v>
      </c>
      <c r="J105" s="30" t="s">
        <v>463</v>
      </c>
      <c r="K105" s="30" t="s">
        <v>463</v>
      </c>
      <c r="L105" s="30" t="s">
        <v>463</v>
      </c>
      <c r="M105" s="30" t="s">
        <v>463</v>
      </c>
      <c r="N105" s="30" t="s">
        <v>463</v>
      </c>
      <c r="O105" s="30" t="s">
        <v>463</v>
      </c>
      <c r="P105" s="30" t="s">
        <v>463</v>
      </c>
      <c r="Q105" s="41"/>
      <c r="R105" s="41"/>
      <c r="S105" s="41"/>
    </row>
    <row r="106" spans="2:19" s="35" customFormat="1" ht="60" x14ac:dyDescent="0.25">
      <c r="B106" s="69"/>
      <c r="C106" s="75"/>
      <c r="D106" s="31" t="s">
        <v>74</v>
      </c>
      <c r="E106" s="30"/>
      <c r="F106" s="15" t="s">
        <v>124</v>
      </c>
      <c r="G106" s="30"/>
      <c r="H106" s="5" t="s">
        <v>437</v>
      </c>
      <c r="I106" s="2"/>
      <c r="J106" s="2"/>
      <c r="K106" s="2"/>
      <c r="L106" s="71"/>
      <c r="M106" s="72"/>
      <c r="N106" s="71"/>
      <c r="O106" s="73"/>
      <c r="P106" s="72"/>
      <c r="Q106" s="41"/>
      <c r="R106" s="41"/>
      <c r="S106" s="41"/>
    </row>
    <row r="107" spans="2:19" s="35" customFormat="1" ht="18" customHeight="1" x14ac:dyDescent="0.25">
      <c r="E107" s="1"/>
      <c r="F107" s="1"/>
      <c r="G107" s="1"/>
      <c r="H107" s="1"/>
      <c r="Q107" s="41"/>
      <c r="R107" s="41"/>
      <c r="S107" s="41"/>
    </row>
    <row r="108" spans="2:19" s="35" customFormat="1" ht="18" customHeight="1" x14ac:dyDescent="0.25">
      <c r="B108" s="74" t="s">
        <v>479</v>
      </c>
      <c r="C108" s="74" t="s">
        <v>172</v>
      </c>
      <c r="D108" s="76" t="s">
        <v>482</v>
      </c>
      <c r="E108" s="74" t="s">
        <v>483</v>
      </c>
      <c r="F108" s="74" t="s">
        <v>414</v>
      </c>
      <c r="G108" s="74" t="s">
        <v>484</v>
      </c>
      <c r="H108" s="36" t="s">
        <v>485</v>
      </c>
      <c r="I108" s="36" t="s">
        <v>456</v>
      </c>
      <c r="J108" s="36" t="s">
        <v>465</v>
      </c>
      <c r="K108" s="36" t="s">
        <v>419</v>
      </c>
      <c r="L108" s="36" t="s">
        <v>486</v>
      </c>
      <c r="M108" s="36" t="s">
        <v>467</v>
      </c>
      <c r="N108" s="36" t="s">
        <v>468</v>
      </c>
      <c r="O108" s="36" t="s">
        <v>469</v>
      </c>
      <c r="P108" s="36" t="s">
        <v>423</v>
      </c>
      <c r="Q108" s="41"/>
      <c r="R108" s="41"/>
      <c r="S108" s="41"/>
    </row>
    <row r="109" spans="2:19" s="35" customFormat="1" ht="18" customHeight="1" x14ac:dyDescent="0.25">
      <c r="B109" s="75"/>
      <c r="C109" s="75"/>
      <c r="D109" s="76"/>
      <c r="E109" s="77"/>
      <c r="F109" s="77"/>
      <c r="G109" s="77"/>
      <c r="H109" s="31" t="s">
        <v>449</v>
      </c>
      <c r="I109" s="30" t="s">
        <v>470</v>
      </c>
      <c r="J109" s="30" t="s">
        <v>487</v>
      </c>
      <c r="K109" s="30" t="s">
        <v>472</v>
      </c>
      <c r="L109" s="30" t="s">
        <v>473</v>
      </c>
      <c r="M109" s="30" t="s">
        <v>474</v>
      </c>
      <c r="N109" s="30" t="s">
        <v>450</v>
      </c>
      <c r="O109" s="30" t="s">
        <v>476</v>
      </c>
      <c r="P109" s="30" t="s">
        <v>477</v>
      </c>
      <c r="Q109" s="41"/>
      <c r="R109" s="41"/>
      <c r="S109" s="41"/>
    </row>
    <row r="110" spans="2:19" s="35" customFormat="1" ht="18" customHeight="1" x14ac:dyDescent="0.25">
      <c r="B110" s="67"/>
      <c r="C110" s="70" t="s">
        <v>794</v>
      </c>
      <c r="D110" s="31" t="s">
        <v>433</v>
      </c>
      <c r="E110" s="30">
        <f>P103+P104</f>
        <v>309</v>
      </c>
      <c r="F110" s="30">
        <f>E110+E111</f>
        <v>313</v>
      </c>
      <c r="G110" s="30">
        <f t="shared" ref="G110:P110" si="23">F110+F111</f>
        <v>314</v>
      </c>
      <c r="H110" s="31">
        <f t="shared" si="23"/>
        <v>316</v>
      </c>
      <c r="I110" s="30">
        <f t="shared" si="23"/>
        <v>317</v>
      </c>
      <c r="J110" s="30">
        <f t="shared" si="23"/>
        <v>318</v>
      </c>
      <c r="K110" s="30">
        <f t="shared" si="23"/>
        <v>320</v>
      </c>
      <c r="L110" s="30">
        <f t="shared" si="23"/>
        <v>322</v>
      </c>
      <c r="M110" s="30">
        <f t="shared" si="23"/>
        <v>324</v>
      </c>
      <c r="N110" s="30">
        <f t="shared" si="23"/>
        <v>326</v>
      </c>
      <c r="O110" s="30">
        <f t="shared" si="23"/>
        <v>328</v>
      </c>
      <c r="P110" s="30">
        <f t="shared" si="23"/>
        <v>330</v>
      </c>
      <c r="Q110" s="41"/>
      <c r="R110" s="41"/>
      <c r="S110" s="41"/>
    </row>
    <row r="111" spans="2:19" s="35" customFormat="1" ht="18" customHeight="1" x14ac:dyDescent="0.25">
      <c r="B111" s="68"/>
      <c r="C111" s="68"/>
      <c r="D111" s="31" t="s">
        <v>434</v>
      </c>
      <c r="E111" s="30">
        <v>4</v>
      </c>
      <c r="F111" s="30">
        <v>1</v>
      </c>
      <c r="G111" s="30">
        <v>2</v>
      </c>
      <c r="H111" s="31">
        <v>1</v>
      </c>
      <c r="I111" s="30">
        <v>1</v>
      </c>
      <c r="J111" s="30">
        <v>2</v>
      </c>
      <c r="K111" s="30">
        <v>2</v>
      </c>
      <c r="L111" s="30">
        <v>2</v>
      </c>
      <c r="M111" s="30">
        <v>2</v>
      </c>
      <c r="N111" s="30">
        <v>2</v>
      </c>
      <c r="O111" s="30">
        <v>2</v>
      </c>
      <c r="P111" s="30">
        <v>2</v>
      </c>
      <c r="Q111" s="41"/>
      <c r="R111" s="41"/>
      <c r="S111" s="41"/>
    </row>
    <row r="112" spans="2:19" s="35" customFormat="1" ht="18" customHeight="1" x14ac:dyDescent="0.25">
      <c r="B112" s="68"/>
      <c r="C112" s="68"/>
      <c r="D112" s="31" t="s">
        <v>488</v>
      </c>
      <c r="E112" s="30" t="s">
        <v>489</v>
      </c>
      <c r="F112" s="30">
        <v>0</v>
      </c>
      <c r="G112" s="30">
        <f>SUM(E111:P111)</f>
        <v>23</v>
      </c>
      <c r="H112" s="31">
        <v>0</v>
      </c>
      <c r="I112" s="30" t="s">
        <v>490</v>
      </c>
      <c r="J112" s="30" t="s">
        <v>448</v>
      </c>
      <c r="K112" s="30" t="s">
        <v>448</v>
      </c>
      <c r="L112" s="30" t="s">
        <v>463</v>
      </c>
      <c r="M112" s="30" t="s">
        <v>448</v>
      </c>
      <c r="N112" s="30" t="s">
        <v>448</v>
      </c>
      <c r="O112" s="30" t="s">
        <v>448</v>
      </c>
      <c r="P112" s="30" t="s">
        <v>448</v>
      </c>
      <c r="Q112" s="41"/>
      <c r="R112" s="41"/>
      <c r="S112" s="41"/>
    </row>
    <row r="113" spans="2:19" s="35" customFormat="1" ht="60" x14ac:dyDescent="0.25">
      <c r="B113" s="69"/>
      <c r="C113" s="69"/>
      <c r="D113" s="31" t="s">
        <v>74</v>
      </c>
      <c r="E113" s="30"/>
      <c r="F113" s="15" t="s">
        <v>491</v>
      </c>
      <c r="G113" s="30"/>
      <c r="H113" s="5" t="s">
        <v>437</v>
      </c>
      <c r="I113" s="2"/>
      <c r="J113" s="2"/>
      <c r="K113" s="2"/>
      <c r="L113" s="71"/>
      <c r="M113" s="72"/>
      <c r="N113" s="71"/>
      <c r="O113" s="73"/>
      <c r="P113" s="72"/>
      <c r="Q113" s="41"/>
      <c r="R113" s="41"/>
      <c r="S113" s="41"/>
    </row>
    <row r="114" spans="2:19" s="35" customFormat="1" ht="18" customHeight="1" x14ac:dyDescent="0.25">
      <c r="B114" s="1"/>
      <c r="C114" s="1"/>
      <c r="D114" s="1"/>
      <c r="E114" s="1"/>
      <c r="F114" s="1"/>
      <c r="G114" s="1"/>
      <c r="H114" s="1"/>
      <c r="I114" s="1"/>
      <c r="J114" s="1"/>
      <c r="K114" s="1"/>
      <c r="L114" s="1"/>
      <c r="M114" s="1"/>
      <c r="N114" s="1"/>
      <c r="O114" s="1"/>
      <c r="P114" s="1"/>
      <c r="Q114" s="41"/>
      <c r="R114" s="41"/>
      <c r="S114" s="41"/>
    </row>
    <row r="115" spans="2:19" s="35" customFormat="1" ht="18" customHeight="1" x14ac:dyDescent="0.25">
      <c r="B115" s="74" t="s">
        <v>479</v>
      </c>
      <c r="C115" s="74" t="s">
        <v>172</v>
      </c>
      <c r="D115" s="76" t="s">
        <v>492</v>
      </c>
      <c r="E115" s="74" t="s">
        <v>455</v>
      </c>
      <c r="F115" s="74" t="s">
        <v>493</v>
      </c>
      <c r="G115" s="74" t="s">
        <v>415</v>
      </c>
      <c r="H115" s="36" t="s">
        <v>416</v>
      </c>
      <c r="I115" s="36" t="s">
        <v>494</v>
      </c>
      <c r="J115" s="36" t="s">
        <v>495</v>
      </c>
      <c r="K115" s="36" t="s">
        <v>496</v>
      </c>
      <c r="L115" s="36" t="s">
        <v>420</v>
      </c>
      <c r="M115" s="36" t="s">
        <v>497</v>
      </c>
      <c r="N115" s="1"/>
      <c r="O115" s="1"/>
      <c r="P115" s="1"/>
      <c r="Q115" s="41"/>
      <c r="R115" s="41"/>
      <c r="S115" s="41"/>
    </row>
    <row r="116" spans="2:19" s="35" customFormat="1" ht="18" customHeight="1" x14ac:dyDescent="0.25">
      <c r="B116" s="75"/>
      <c r="C116" s="75"/>
      <c r="D116" s="76"/>
      <c r="E116" s="77"/>
      <c r="F116" s="77"/>
      <c r="G116" s="77"/>
      <c r="H116" s="31" t="s">
        <v>426</v>
      </c>
      <c r="I116" s="30" t="s">
        <v>498</v>
      </c>
      <c r="J116" s="30" t="s">
        <v>499</v>
      </c>
      <c r="K116" s="30" t="s">
        <v>500</v>
      </c>
      <c r="L116" s="30" t="s">
        <v>501</v>
      </c>
      <c r="M116" s="30" t="s">
        <v>502</v>
      </c>
      <c r="N116" s="1"/>
      <c r="O116" s="1"/>
      <c r="P116" s="1"/>
      <c r="Q116" s="1"/>
      <c r="R116" s="1"/>
      <c r="S116" s="1"/>
    </row>
    <row r="117" spans="2:19" s="35" customFormat="1" ht="18" customHeight="1" x14ac:dyDescent="0.25">
      <c r="B117" s="67"/>
      <c r="C117" s="70" t="s">
        <v>800</v>
      </c>
      <c r="D117" s="31" t="s">
        <v>453</v>
      </c>
      <c r="E117" s="30">
        <f>P110+P111</f>
        <v>332</v>
      </c>
      <c r="F117" s="30">
        <f>E117+E118</f>
        <v>336</v>
      </c>
      <c r="G117" s="30">
        <f t="shared" ref="G117:M117" si="24">F117+F118</f>
        <v>337</v>
      </c>
      <c r="H117" s="31">
        <f t="shared" si="24"/>
        <v>339</v>
      </c>
      <c r="I117" s="30">
        <f t="shared" si="24"/>
        <v>340</v>
      </c>
      <c r="J117" s="30">
        <f t="shared" si="24"/>
        <v>341</v>
      </c>
      <c r="K117" s="30">
        <f t="shared" si="24"/>
        <v>342</v>
      </c>
      <c r="L117" s="30">
        <f t="shared" si="24"/>
        <v>343</v>
      </c>
      <c r="M117" s="30">
        <f t="shared" si="24"/>
        <v>344</v>
      </c>
      <c r="N117" s="1"/>
      <c r="O117" s="1"/>
      <c r="P117" s="1"/>
      <c r="Q117" s="41"/>
      <c r="R117" s="41"/>
      <c r="S117" s="41"/>
    </row>
    <row r="118" spans="2:19" s="35" customFormat="1" ht="18" customHeight="1" x14ac:dyDescent="0.25">
      <c r="B118" s="68"/>
      <c r="C118" s="68"/>
      <c r="D118" s="31" t="s">
        <v>452</v>
      </c>
      <c r="E118" s="30">
        <v>4</v>
      </c>
      <c r="F118" s="30">
        <v>1</v>
      </c>
      <c r="G118" s="30">
        <v>2</v>
      </c>
      <c r="H118" s="31">
        <v>1</v>
      </c>
      <c r="I118" s="30">
        <v>1</v>
      </c>
      <c r="J118" s="30">
        <v>1</v>
      </c>
      <c r="K118" s="30">
        <v>1</v>
      </c>
      <c r="L118" s="30">
        <v>1</v>
      </c>
      <c r="M118" s="30">
        <v>1</v>
      </c>
      <c r="N118" s="1"/>
      <c r="O118" s="1"/>
      <c r="P118" s="1"/>
      <c r="Q118" s="41"/>
      <c r="R118" s="41"/>
      <c r="S118" s="41"/>
    </row>
    <row r="119" spans="2:19" s="35" customFormat="1" ht="18" customHeight="1" x14ac:dyDescent="0.25">
      <c r="B119" s="68"/>
      <c r="C119" s="68"/>
      <c r="D119" s="31" t="s">
        <v>488</v>
      </c>
      <c r="E119" s="30" t="s">
        <v>503</v>
      </c>
      <c r="F119" s="30">
        <v>0</v>
      </c>
      <c r="G119" s="30">
        <f>SUM(E118:M118)</f>
        <v>13</v>
      </c>
      <c r="H119" s="31">
        <v>0</v>
      </c>
      <c r="I119" s="30">
        <v>0</v>
      </c>
      <c r="J119" s="30">
        <v>0</v>
      </c>
      <c r="K119" s="30">
        <v>0</v>
      </c>
      <c r="L119" s="30">
        <v>0</v>
      </c>
      <c r="M119" s="30">
        <v>0</v>
      </c>
      <c r="N119" s="1"/>
      <c r="O119" s="1"/>
      <c r="P119" s="1"/>
      <c r="Q119" s="41"/>
      <c r="R119" s="41"/>
      <c r="S119" s="41"/>
    </row>
    <row r="120" spans="2:19" s="35" customFormat="1" ht="60" x14ac:dyDescent="0.25">
      <c r="B120" s="69"/>
      <c r="C120" s="69"/>
      <c r="D120" s="31" t="s">
        <v>74</v>
      </c>
      <c r="E120" s="30"/>
      <c r="F120" s="15" t="s">
        <v>491</v>
      </c>
      <c r="G120" s="30"/>
      <c r="H120" s="5" t="s">
        <v>504</v>
      </c>
      <c r="I120" s="2"/>
      <c r="J120" s="2"/>
      <c r="K120" s="2"/>
      <c r="L120" s="2"/>
      <c r="M120" s="2"/>
      <c r="N120" s="1"/>
      <c r="O120" s="1"/>
      <c r="P120" s="1"/>
      <c r="Q120" s="41"/>
      <c r="R120" s="41"/>
      <c r="S120" s="41"/>
    </row>
    <row r="121" spans="2:19" s="35" customFormat="1" ht="18" customHeight="1" x14ac:dyDescent="0.25">
      <c r="E121" s="1"/>
      <c r="F121" s="1"/>
      <c r="G121" s="1"/>
      <c r="H121" s="1"/>
      <c r="Q121" s="41"/>
      <c r="R121" s="41"/>
      <c r="S121" s="41"/>
    </row>
    <row r="122" spans="2:19" s="35" customFormat="1" ht="18" customHeight="1" x14ac:dyDescent="0.25">
      <c r="B122" s="74" t="s">
        <v>479</v>
      </c>
      <c r="C122" s="74" t="s">
        <v>172</v>
      </c>
      <c r="D122" s="76" t="s">
        <v>505</v>
      </c>
      <c r="E122" s="74" t="s">
        <v>455</v>
      </c>
      <c r="F122" s="74" t="s">
        <v>414</v>
      </c>
      <c r="G122" s="74" t="s">
        <v>484</v>
      </c>
      <c r="H122" s="36" t="s">
        <v>485</v>
      </c>
      <c r="I122" s="36" t="s">
        <v>494</v>
      </c>
      <c r="J122" s="36" t="s">
        <v>495</v>
      </c>
      <c r="K122" s="36" t="s">
        <v>506</v>
      </c>
      <c r="L122" s="36" t="s">
        <v>507</v>
      </c>
      <c r="M122" s="36" t="s">
        <v>508</v>
      </c>
      <c r="N122" s="1"/>
      <c r="O122" s="1"/>
      <c r="P122" s="1"/>
      <c r="Q122" s="41"/>
      <c r="R122" s="41"/>
      <c r="S122" s="41"/>
    </row>
    <row r="123" spans="2:19" s="35" customFormat="1" ht="18" customHeight="1" x14ac:dyDescent="0.25">
      <c r="B123" s="75"/>
      <c r="C123" s="75"/>
      <c r="D123" s="76"/>
      <c r="E123" s="77"/>
      <c r="F123" s="77"/>
      <c r="G123" s="77"/>
      <c r="H123" s="31" t="s">
        <v>449</v>
      </c>
      <c r="I123" s="30" t="s">
        <v>470</v>
      </c>
      <c r="J123" s="30" t="s">
        <v>509</v>
      </c>
      <c r="K123" s="30" t="s">
        <v>510</v>
      </c>
      <c r="L123" s="30" t="s">
        <v>511</v>
      </c>
      <c r="M123" s="30" t="s">
        <v>512</v>
      </c>
      <c r="N123" s="1"/>
      <c r="O123" s="1"/>
      <c r="P123" s="1"/>
      <c r="Q123" s="1"/>
      <c r="R123" s="1"/>
      <c r="S123" s="1"/>
    </row>
    <row r="124" spans="2:19" s="35" customFormat="1" ht="18" customHeight="1" x14ac:dyDescent="0.25">
      <c r="B124" s="67"/>
      <c r="C124" s="70" t="s">
        <v>799</v>
      </c>
      <c r="D124" s="31" t="s">
        <v>453</v>
      </c>
      <c r="E124" s="30">
        <f>M117+M118</f>
        <v>345</v>
      </c>
      <c r="F124" s="30">
        <f>E124+E125</f>
        <v>349</v>
      </c>
      <c r="G124" s="30">
        <f t="shared" ref="G124:M124" si="25">F124+F125</f>
        <v>350</v>
      </c>
      <c r="H124" s="31">
        <f t="shared" si="25"/>
        <v>352</v>
      </c>
      <c r="I124" s="30">
        <f t="shared" si="25"/>
        <v>353</v>
      </c>
      <c r="J124" s="30">
        <f t="shared" si="25"/>
        <v>354</v>
      </c>
      <c r="K124" s="30">
        <f t="shared" si="25"/>
        <v>355</v>
      </c>
      <c r="L124" s="30">
        <f t="shared" si="25"/>
        <v>356</v>
      </c>
      <c r="M124" s="30">
        <f t="shared" si="25"/>
        <v>357</v>
      </c>
      <c r="N124" s="1"/>
      <c r="O124" s="1"/>
      <c r="P124" s="1"/>
      <c r="Q124" s="41"/>
      <c r="R124" s="41"/>
      <c r="S124" s="41"/>
    </row>
    <row r="125" spans="2:19" s="35" customFormat="1" ht="18" customHeight="1" x14ac:dyDescent="0.25">
      <c r="B125" s="68"/>
      <c r="C125" s="68"/>
      <c r="D125" s="31" t="s">
        <v>434</v>
      </c>
      <c r="E125" s="30">
        <v>4</v>
      </c>
      <c r="F125" s="30">
        <v>1</v>
      </c>
      <c r="G125" s="30">
        <v>2</v>
      </c>
      <c r="H125" s="31">
        <v>1</v>
      </c>
      <c r="I125" s="30">
        <v>1</v>
      </c>
      <c r="J125" s="30">
        <v>1</v>
      </c>
      <c r="K125" s="30">
        <v>1</v>
      </c>
      <c r="L125" s="30">
        <v>1</v>
      </c>
      <c r="M125" s="30">
        <v>1</v>
      </c>
      <c r="N125" s="1"/>
      <c r="O125" s="1"/>
      <c r="P125" s="1"/>
      <c r="Q125" s="41"/>
      <c r="R125" s="41"/>
      <c r="S125" s="41"/>
    </row>
    <row r="126" spans="2:19" s="35" customFormat="1" ht="18" customHeight="1" x14ac:dyDescent="0.25">
      <c r="B126" s="68"/>
      <c r="C126" s="68"/>
      <c r="D126" s="31" t="s">
        <v>488</v>
      </c>
      <c r="E126" s="30" t="s">
        <v>513</v>
      </c>
      <c r="F126" s="30">
        <v>0</v>
      </c>
      <c r="G126" s="30">
        <f>SUM(E125:M125)</f>
        <v>13</v>
      </c>
      <c r="H126" s="31">
        <v>0</v>
      </c>
      <c r="I126" s="30">
        <v>0</v>
      </c>
      <c r="J126" s="30">
        <v>0</v>
      </c>
      <c r="K126" s="30">
        <v>0</v>
      </c>
      <c r="L126" s="30">
        <v>0</v>
      </c>
      <c r="M126" s="30">
        <v>0</v>
      </c>
      <c r="N126" s="1"/>
      <c r="O126" s="1"/>
      <c r="P126" s="1"/>
      <c r="Q126" s="41"/>
      <c r="R126" s="41"/>
      <c r="S126" s="41"/>
    </row>
    <row r="127" spans="2:19" s="35" customFormat="1" ht="60" x14ac:dyDescent="0.25">
      <c r="B127" s="69"/>
      <c r="C127" s="69"/>
      <c r="D127" s="31" t="s">
        <v>74</v>
      </c>
      <c r="E127" s="30"/>
      <c r="F127" s="15" t="s">
        <v>491</v>
      </c>
      <c r="G127" s="30"/>
      <c r="H127" s="5" t="s">
        <v>504</v>
      </c>
      <c r="I127" s="2"/>
      <c r="J127" s="2"/>
      <c r="K127" s="2"/>
      <c r="L127" s="2"/>
      <c r="M127" s="2"/>
      <c r="N127" s="1"/>
      <c r="O127" s="1"/>
      <c r="P127" s="1"/>
      <c r="Q127" s="41"/>
      <c r="R127" s="41"/>
      <c r="S127" s="41"/>
    </row>
    <row r="128" spans="2:19" s="35" customFormat="1" ht="18" customHeight="1" x14ac:dyDescent="0.25">
      <c r="B128" s="41"/>
      <c r="C128" s="41"/>
      <c r="D128" s="41"/>
      <c r="E128" s="41"/>
      <c r="F128" s="41"/>
      <c r="G128" s="41"/>
      <c r="H128" s="41"/>
      <c r="I128" s="41"/>
      <c r="J128" s="41"/>
      <c r="K128" s="41"/>
      <c r="L128" s="41"/>
      <c r="M128" s="41"/>
      <c r="N128" s="41"/>
      <c r="O128" s="41"/>
      <c r="P128" s="41"/>
      <c r="Q128" s="41"/>
      <c r="R128" s="41"/>
      <c r="S128" s="41"/>
    </row>
    <row r="129" spans="2:16" ht="18" customHeight="1" x14ac:dyDescent="0.25">
      <c r="B129" s="74" t="s">
        <v>175</v>
      </c>
      <c r="C129" s="74" t="s">
        <v>172</v>
      </c>
      <c r="D129" s="76" t="s">
        <v>107</v>
      </c>
      <c r="E129" s="74" t="s">
        <v>50</v>
      </c>
      <c r="F129" s="74" t="s">
        <v>51</v>
      </c>
      <c r="G129" s="74" t="s">
        <v>52</v>
      </c>
      <c r="H129" s="12" t="s">
        <v>53</v>
      </c>
      <c r="I129" s="12" t="s">
        <v>54</v>
      </c>
    </row>
    <row r="130" spans="2:16" ht="18" customHeight="1" x14ac:dyDescent="0.25">
      <c r="B130" s="75"/>
      <c r="C130" s="75"/>
      <c r="D130" s="76"/>
      <c r="E130" s="77"/>
      <c r="F130" s="77"/>
      <c r="G130" s="77"/>
      <c r="H130" s="4" t="s">
        <v>78</v>
      </c>
      <c r="I130" s="11" t="s">
        <v>108</v>
      </c>
    </row>
    <row r="131" spans="2:16" ht="18" customHeight="1" x14ac:dyDescent="0.25">
      <c r="B131" s="67"/>
      <c r="C131" s="70" t="s">
        <v>783</v>
      </c>
      <c r="D131" s="4" t="s">
        <v>71</v>
      </c>
      <c r="E131" s="30">
        <f>M124+M125</f>
        <v>358</v>
      </c>
      <c r="F131" s="11">
        <f>E131+E132</f>
        <v>362</v>
      </c>
      <c r="G131" s="11">
        <f>F131+F132</f>
        <v>363</v>
      </c>
      <c r="H131" s="4">
        <f t="shared" ref="H131:I131" si="26">G131+G132</f>
        <v>365</v>
      </c>
      <c r="I131" s="11">
        <f t="shared" si="26"/>
        <v>366</v>
      </c>
    </row>
    <row r="132" spans="2:16" ht="18" customHeight="1" x14ac:dyDescent="0.25">
      <c r="B132" s="68"/>
      <c r="C132" s="68"/>
      <c r="D132" s="4" t="s">
        <v>72</v>
      </c>
      <c r="E132" s="11">
        <v>4</v>
      </c>
      <c r="F132" s="11">
        <v>1</v>
      </c>
      <c r="G132" s="11">
        <v>2</v>
      </c>
      <c r="H132" s="4">
        <v>1</v>
      </c>
      <c r="I132" s="11">
        <v>2</v>
      </c>
    </row>
    <row r="133" spans="2:16" ht="18" customHeight="1" x14ac:dyDescent="0.25">
      <c r="B133" s="68"/>
      <c r="C133" s="68"/>
      <c r="D133" s="31" t="s">
        <v>488</v>
      </c>
      <c r="E133" s="11" t="s">
        <v>109</v>
      </c>
      <c r="F133" s="11">
        <v>0</v>
      </c>
      <c r="G133" s="30">
        <f>SUM(E132:I132)</f>
        <v>10</v>
      </c>
      <c r="H133" s="4">
        <v>0</v>
      </c>
      <c r="I133" s="11"/>
    </row>
    <row r="134" spans="2:16" ht="60" x14ac:dyDescent="0.25">
      <c r="B134" s="69"/>
      <c r="C134" s="69"/>
      <c r="D134" s="31" t="s">
        <v>74</v>
      </c>
      <c r="E134" s="11"/>
      <c r="F134" s="15" t="s">
        <v>124</v>
      </c>
      <c r="G134" s="11"/>
      <c r="H134" s="5" t="s">
        <v>75</v>
      </c>
      <c r="I134" s="2" t="s">
        <v>110</v>
      </c>
    </row>
    <row r="135" spans="2:16" ht="18" customHeight="1" x14ac:dyDescent="0.25"/>
    <row r="136" spans="2:16" ht="18" customHeight="1" x14ac:dyDescent="0.25">
      <c r="B136" s="74" t="s">
        <v>514</v>
      </c>
      <c r="C136" s="74" t="s">
        <v>172</v>
      </c>
      <c r="D136" s="76" t="s">
        <v>515</v>
      </c>
      <c r="E136" s="74" t="s">
        <v>516</v>
      </c>
      <c r="F136" s="74" t="s">
        <v>517</v>
      </c>
      <c r="G136" s="74" t="s">
        <v>52</v>
      </c>
      <c r="H136" s="36" t="s">
        <v>518</v>
      </c>
      <c r="I136" s="36" t="s">
        <v>13</v>
      </c>
      <c r="J136" s="36" t="s">
        <v>519</v>
      </c>
      <c r="K136" s="36" t="s">
        <v>520</v>
      </c>
      <c r="L136" s="36" t="s">
        <v>521</v>
      </c>
    </row>
    <row r="137" spans="2:16" ht="18" customHeight="1" x14ac:dyDescent="0.25">
      <c r="B137" s="75"/>
      <c r="C137" s="75"/>
      <c r="D137" s="76"/>
      <c r="E137" s="77"/>
      <c r="F137" s="77"/>
      <c r="G137" s="77"/>
      <c r="H137" s="31" t="s">
        <v>522</v>
      </c>
      <c r="I137" s="30" t="s">
        <v>523</v>
      </c>
      <c r="J137" s="30" t="s">
        <v>524</v>
      </c>
      <c r="K137" s="30" t="s">
        <v>525</v>
      </c>
      <c r="L137" s="30" t="s">
        <v>526</v>
      </c>
    </row>
    <row r="138" spans="2:16" ht="18" customHeight="1" x14ac:dyDescent="0.25">
      <c r="B138" s="67"/>
      <c r="C138" s="70" t="s">
        <v>801</v>
      </c>
      <c r="D138" s="31" t="s">
        <v>527</v>
      </c>
      <c r="E138" s="30">
        <f>I131+I132</f>
        <v>368</v>
      </c>
      <c r="F138" s="30">
        <f>E138+E139</f>
        <v>372</v>
      </c>
      <c r="G138" s="30">
        <f t="shared" ref="G138:L138" si="27">F138+F139</f>
        <v>373</v>
      </c>
      <c r="H138" s="31">
        <f t="shared" si="27"/>
        <v>375</v>
      </c>
      <c r="I138" s="30">
        <f t="shared" si="27"/>
        <v>376</v>
      </c>
      <c r="J138" s="30">
        <f t="shared" si="27"/>
        <v>377</v>
      </c>
      <c r="K138" s="30">
        <f t="shared" si="27"/>
        <v>378</v>
      </c>
      <c r="L138" s="30">
        <f t="shared" si="27"/>
        <v>379</v>
      </c>
    </row>
    <row r="139" spans="2:16" ht="18" customHeight="1" x14ac:dyDescent="0.25">
      <c r="B139" s="68"/>
      <c r="C139" s="68"/>
      <c r="D139" s="31" t="s">
        <v>72</v>
      </c>
      <c r="E139" s="30">
        <v>4</v>
      </c>
      <c r="F139" s="30">
        <v>1</v>
      </c>
      <c r="G139" s="30">
        <v>2</v>
      </c>
      <c r="H139" s="31">
        <v>1</v>
      </c>
      <c r="I139" s="30">
        <v>1</v>
      </c>
      <c r="J139" s="30">
        <v>1</v>
      </c>
      <c r="K139" s="30">
        <v>1</v>
      </c>
      <c r="L139" s="30">
        <v>1</v>
      </c>
    </row>
    <row r="140" spans="2:16" ht="18" customHeight="1" x14ac:dyDescent="0.25">
      <c r="B140" s="68"/>
      <c r="C140" s="68"/>
      <c r="D140" s="31" t="s">
        <v>488</v>
      </c>
      <c r="E140" s="30" t="s">
        <v>528</v>
      </c>
      <c r="F140" s="30">
        <v>0</v>
      </c>
      <c r="G140" s="30">
        <f>SUM(E139:L139)</f>
        <v>12</v>
      </c>
      <c r="H140" s="31">
        <v>0</v>
      </c>
      <c r="I140" s="30">
        <v>0</v>
      </c>
      <c r="J140" s="30">
        <v>0</v>
      </c>
      <c r="K140" s="30">
        <v>0</v>
      </c>
      <c r="L140" s="30">
        <v>0</v>
      </c>
    </row>
    <row r="141" spans="2:16" ht="60" x14ac:dyDescent="0.25">
      <c r="B141" s="69"/>
      <c r="C141" s="69"/>
      <c r="D141" s="31" t="s">
        <v>74</v>
      </c>
      <c r="E141" s="30"/>
      <c r="F141" s="15" t="s">
        <v>124</v>
      </c>
      <c r="G141" s="30"/>
      <c r="H141" s="5" t="s">
        <v>75</v>
      </c>
      <c r="I141" s="2"/>
      <c r="J141" s="2"/>
      <c r="K141" s="2"/>
      <c r="L141" s="2"/>
    </row>
    <row r="142" spans="2:16" ht="18" customHeight="1" x14ac:dyDescent="0.25"/>
    <row r="143" spans="2:16" ht="18" customHeight="1" x14ac:dyDescent="0.25">
      <c r="B143" s="74" t="s">
        <v>514</v>
      </c>
      <c r="C143" s="74" t="s">
        <v>172</v>
      </c>
      <c r="D143" s="76" t="s">
        <v>529</v>
      </c>
      <c r="E143" s="74" t="s">
        <v>516</v>
      </c>
      <c r="F143" s="74" t="s">
        <v>51</v>
      </c>
      <c r="G143" s="74" t="s">
        <v>52</v>
      </c>
      <c r="H143" s="36" t="s">
        <v>9</v>
      </c>
      <c r="I143" s="36" t="s">
        <v>24</v>
      </c>
      <c r="J143" s="36" t="s">
        <v>17</v>
      </c>
      <c r="K143" s="36" t="s">
        <v>11</v>
      </c>
      <c r="L143" s="36" t="s">
        <v>439</v>
      </c>
      <c r="M143" s="36" t="s">
        <v>440</v>
      </c>
      <c r="N143" s="36" t="s">
        <v>12</v>
      </c>
      <c r="O143" s="36" t="s">
        <v>87</v>
      </c>
      <c r="P143" s="36" t="s">
        <v>58</v>
      </c>
    </row>
    <row r="144" spans="2:16" ht="18" customHeight="1" x14ac:dyDescent="0.25">
      <c r="B144" s="75"/>
      <c r="C144" s="75"/>
      <c r="D144" s="76"/>
      <c r="E144" s="77"/>
      <c r="F144" s="77"/>
      <c r="G144" s="77"/>
      <c r="H144" s="31" t="s">
        <v>0</v>
      </c>
      <c r="I144" s="30" t="s">
        <v>441</v>
      </c>
      <c r="J144" s="30" t="s">
        <v>530</v>
      </c>
      <c r="K144" s="30" t="s">
        <v>443</v>
      </c>
      <c r="L144" s="30" t="s">
        <v>444</v>
      </c>
      <c r="M144" s="30" t="s">
        <v>445</v>
      </c>
      <c r="N144" s="30" t="s">
        <v>460</v>
      </c>
      <c r="O144" s="30" t="s">
        <v>446</v>
      </c>
      <c r="P144" s="30" t="s">
        <v>451</v>
      </c>
    </row>
    <row r="145" spans="2:19" ht="18" customHeight="1" x14ac:dyDescent="0.25">
      <c r="B145" s="67"/>
      <c r="C145" s="70" t="s">
        <v>794</v>
      </c>
      <c r="D145" s="31" t="s">
        <v>71</v>
      </c>
      <c r="E145" s="30">
        <f>L138+L139</f>
        <v>380</v>
      </c>
      <c r="F145" s="30">
        <f>E145+E146</f>
        <v>384</v>
      </c>
      <c r="G145" s="30">
        <f t="shared" ref="G145:P145" si="28">F145+F146</f>
        <v>385</v>
      </c>
      <c r="H145" s="31">
        <f t="shared" si="28"/>
        <v>387</v>
      </c>
      <c r="I145" s="30">
        <f t="shared" si="28"/>
        <v>388</v>
      </c>
      <c r="J145" s="30">
        <f t="shared" si="28"/>
        <v>389</v>
      </c>
      <c r="K145" s="30">
        <f t="shared" si="28"/>
        <v>391</v>
      </c>
      <c r="L145" s="30">
        <f t="shared" si="28"/>
        <v>393</v>
      </c>
      <c r="M145" s="30">
        <f t="shared" si="28"/>
        <v>395</v>
      </c>
      <c r="N145" s="30">
        <f t="shared" si="28"/>
        <v>397</v>
      </c>
      <c r="O145" s="30">
        <f t="shared" si="28"/>
        <v>399</v>
      </c>
      <c r="P145" s="30">
        <f t="shared" si="28"/>
        <v>401</v>
      </c>
    </row>
    <row r="146" spans="2:19" ht="18" customHeight="1" x14ac:dyDescent="0.25">
      <c r="B146" s="68"/>
      <c r="C146" s="68"/>
      <c r="D146" s="31" t="s">
        <v>434</v>
      </c>
      <c r="E146" s="30">
        <v>4</v>
      </c>
      <c r="F146" s="30">
        <v>1</v>
      </c>
      <c r="G146" s="30">
        <v>2</v>
      </c>
      <c r="H146" s="31">
        <v>1</v>
      </c>
      <c r="I146" s="30">
        <v>1</v>
      </c>
      <c r="J146" s="30">
        <v>2</v>
      </c>
      <c r="K146" s="30">
        <v>2</v>
      </c>
      <c r="L146" s="30">
        <v>2</v>
      </c>
      <c r="M146" s="30">
        <v>2</v>
      </c>
      <c r="N146" s="30">
        <v>2</v>
      </c>
      <c r="O146" s="30">
        <v>2</v>
      </c>
      <c r="P146" s="30">
        <v>2</v>
      </c>
    </row>
    <row r="147" spans="2:19" ht="18" customHeight="1" x14ac:dyDescent="0.25">
      <c r="B147" s="68"/>
      <c r="C147" s="68"/>
      <c r="D147" s="31" t="s">
        <v>488</v>
      </c>
      <c r="E147" s="30" t="s">
        <v>531</v>
      </c>
      <c r="F147" s="30">
        <v>0</v>
      </c>
      <c r="G147" s="30">
        <f>SUM(E146:P146)</f>
        <v>23</v>
      </c>
      <c r="H147" s="31">
        <v>0</v>
      </c>
      <c r="I147" s="30" t="s">
        <v>462</v>
      </c>
      <c r="J147" s="30" t="s">
        <v>463</v>
      </c>
      <c r="K147" s="30" t="s">
        <v>463</v>
      </c>
      <c r="L147" s="30" t="s">
        <v>463</v>
      </c>
      <c r="M147" s="30" t="s">
        <v>463</v>
      </c>
      <c r="N147" s="30" t="s">
        <v>463</v>
      </c>
      <c r="O147" s="30" t="s">
        <v>463</v>
      </c>
      <c r="P147" s="30" t="s">
        <v>463</v>
      </c>
    </row>
    <row r="148" spans="2:19" ht="60" x14ac:dyDescent="0.25">
      <c r="B148" s="69"/>
      <c r="C148" s="69"/>
      <c r="D148" s="31" t="s">
        <v>74</v>
      </c>
      <c r="E148" s="30"/>
      <c r="F148" s="15" t="s">
        <v>436</v>
      </c>
      <c r="G148" s="30"/>
      <c r="H148" s="5" t="s">
        <v>437</v>
      </c>
      <c r="I148" s="2"/>
      <c r="J148" s="2"/>
      <c r="K148" s="2"/>
      <c r="L148" s="71"/>
      <c r="M148" s="72"/>
      <c r="N148" s="71"/>
      <c r="O148" s="73"/>
      <c r="P148" s="72"/>
    </row>
    <row r="149" spans="2:19" ht="18" customHeight="1" x14ac:dyDescent="0.25"/>
    <row r="150" spans="2:19" ht="18" customHeight="1" x14ac:dyDescent="0.25">
      <c r="B150" s="74" t="s">
        <v>479</v>
      </c>
      <c r="C150" s="74" t="s">
        <v>172</v>
      </c>
      <c r="D150" s="78" t="s">
        <v>532</v>
      </c>
      <c r="E150" s="74" t="s">
        <v>455</v>
      </c>
      <c r="F150" s="74" t="s">
        <v>414</v>
      </c>
      <c r="G150" s="74" t="s">
        <v>415</v>
      </c>
      <c r="H150" s="36" t="s">
        <v>416</v>
      </c>
      <c r="I150" s="36" t="s">
        <v>418</v>
      </c>
      <c r="J150" s="36" t="s">
        <v>496</v>
      </c>
      <c r="K150" s="36" t="s">
        <v>420</v>
      </c>
      <c r="L150" s="36" t="s">
        <v>497</v>
      </c>
      <c r="M150" s="36" t="s">
        <v>533</v>
      </c>
    </row>
    <row r="151" spans="2:19" x14ac:dyDescent="0.25">
      <c r="B151" s="75"/>
      <c r="C151" s="75"/>
      <c r="D151" s="76"/>
      <c r="E151" s="77"/>
      <c r="F151" s="77"/>
      <c r="G151" s="77"/>
      <c r="H151" s="31" t="s">
        <v>426</v>
      </c>
      <c r="I151" s="30" t="s">
        <v>534</v>
      </c>
      <c r="J151" s="30" t="s">
        <v>535</v>
      </c>
      <c r="K151" s="30" t="s">
        <v>536</v>
      </c>
      <c r="L151" s="30" t="s">
        <v>537</v>
      </c>
      <c r="M151" s="30" t="s">
        <v>538</v>
      </c>
    </row>
    <row r="152" spans="2:19" ht="18" customHeight="1" x14ac:dyDescent="0.25">
      <c r="B152" s="67"/>
      <c r="C152" s="70" t="s">
        <v>795</v>
      </c>
      <c r="D152" s="31" t="s">
        <v>433</v>
      </c>
      <c r="E152" s="30">
        <f>P145+P146</f>
        <v>403</v>
      </c>
      <c r="F152" s="30">
        <f>E152+E153</f>
        <v>407</v>
      </c>
      <c r="G152" s="30">
        <f t="shared" ref="G152:M152" si="29">F152+F153</f>
        <v>408</v>
      </c>
      <c r="H152" s="31">
        <f t="shared" si="29"/>
        <v>410</v>
      </c>
      <c r="I152" s="30">
        <f t="shared" si="29"/>
        <v>411</v>
      </c>
      <c r="J152" s="30">
        <f t="shared" si="29"/>
        <v>412</v>
      </c>
      <c r="K152" s="30">
        <f t="shared" si="29"/>
        <v>413</v>
      </c>
      <c r="L152" s="30">
        <f t="shared" si="29"/>
        <v>414</v>
      </c>
      <c r="M152" s="30">
        <f t="shared" si="29"/>
        <v>415</v>
      </c>
    </row>
    <row r="153" spans="2:19" ht="18" customHeight="1" x14ac:dyDescent="0.25">
      <c r="B153" s="68"/>
      <c r="C153" s="68"/>
      <c r="D153" s="31" t="s">
        <v>434</v>
      </c>
      <c r="E153" s="30">
        <v>4</v>
      </c>
      <c r="F153" s="30">
        <v>1</v>
      </c>
      <c r="G153" s="30">
        <v>2</v>
      </c>
      <c r="H153" s="31">
        <v>1</v>
      </c>
      <c r="I153" s="30">
        <v>1</v>
      </c>
      <c r="J153" s="30">
        <v>1</v>
      </c>
      <c r="K153" s="30">
        <v>1</v>
      </c>
      <c r="L153" s="30">
        <v>1</v>
      </c>
      <c r="M153" s="30">
        <v>1</v>
      </c>
    </row>
    <row r="154" spans="2:19" ht="18" customHeight="1" x14ac:dyDescent="0.25">
      <c r="B154" s="68"/>
      <c r="C154" s="68"/>
      <c r="D154" s="31" t="s">
        <v>488</v>
      </c>
      <c r="E154" s="30" t="s">
        <v>539</v>
      </c>
      <c r="F154" s="30">
        <v>0</v>
      </c>
      <c r="G154" s="30">
        <f>SUM(E153:M153)</f>
        <v>13</v>
      </c>
      <c r="H154" s="31">
        <v>0</v>
      </c>
      <c r="I154" s="30">
        <v>0</v>
      </c>
      <c r="J154" s="30">
        <v>0</v>
      </c>
      <c r="K154" s="30">
        <v>0</v>
      </c>
      <c r="L154" s="30">
        <v>0</v>
      </c>
      <c r="M154" s="30">
        <v>0</v>
      </c>
    </row>
    <row r="155" spans="2:19" ht="60" x14ac:dyDescent="0.25">
      <c r="B155" s="69"/>
      <c r="C155" s="69"/>
      <c r="D155" s="31" t="s">
        <v>74</v>
      </c>
      <c r="E155" s="30"/>
      <c r="F155" s="15" t="s">
        <v>436</v>
      </c>
      <c r="G155" s="30"/>
      <c r="H155" s="5" t="s">
        <v>437</v>
      </c>
      <c r="I155" s="2"/>
      <c r="J155" s="2"/>
      <c r="K155" s="2"/>
      <c r="L155" s="2"/>
      <c r="M155" s="2"/>
    </row>
    <row r="156" spans="2:19" ht="18" customHeight="1" x14ac:dyDescent="0.25"/>
    <row r="157" spans="2:19" ht="18" customHeight="1" x14ac:dyDescent="0.25">
      <c r="B157" s="74" t="s">
        <v>176</v>
      </c>
      <c r="C157" s="74" t="s">
        <v>172</v>
      </c>
      <c r="D157" s="78" t="s">
        <v>116</v>
      </c>
      <c r="E157" s="74" t="s">
        <v>50</v>
      </c>
      <c r="F157" s="74" t="s">
        <v>51</v>
      </c>
      <c r="G157" s="74" t="s">
        <v>52</v>
      </c>
      <c r="H157" s="12" t="s">
        <v>53</v>
      </c>
      <c r="I157" s="12" t="s">
        <v>54</v>
      </c>
      <c r="J157" s="12" t="s">
        <v>55</v>
      </c>
      <c r="K157" s="12" t="s">
        <v>56</v>
      </c>
      <c r="L157" s="12" t="s">
        <v>76</v>
      </c>
      <c r="M157" s="12" t="s">
        <v>57</v>
      </c>
      <c r="N157" s="12" t="s">
        <v>77</v>
      </c>
      <c r="O157" s="12" t="s">
        <v>47</v>
      </c>
      <c r="P157" s="12" t="s">
        <v>58</v>
      </c>
      <c r="Q157" s="12" t="s">
        <v>48</v>
      </c>
      <c r="R157" s="12" t="s">
        <v>59</v>
      </c>
      <c r="S157" s="12" t="s">
        <v>49</v>
      </c>
    </row>
    <row r="158" spans="2:19" ht="18" customHeight="1" x14ac:dyDescent="0.25">
      <c r="B158" s="75"/>
      <c r="C158" s="75"/>
      <c r="D158" s="76"/>
      <c r="E158" s="77"/>
      <c r="F158" s="77"/>
      <c r="G158" s="77"/>
      <c r="H158" s="4" t="s">
        <v>78</v>
      </c>
      <c r="I158" s="11" t="s">
        <v>60</v>
      </c>
      <c r="J158" s="11" t="s">
        <v>61</v>
      </c>
      <c r="K158" s="11" t="s">
        <v>62</v>
      </c>
      <c r="L158" s="11" t="s">
        <v>63</v>
      </c>
      <c r="M158" s="4" t="s">
        <v>64</v>
      </c>
      <c r="N158" s="11" t="s">
        <v>65</v>
      </c>
      <c r="O158" s="11" t="s">
        <v>66</v>
      </c>
      <c r="P158" s="4" t="s">
        <v>67</v>
      </c>
      <c r="Q158" s="4" t="s">
        <v>68</v>
      </c>
      <c r="R158" s="11" t="s">
        <v>69</v>
      </c>
      <c r="S158" s="11" t="s">
        <v>70</v>
      </c>
    </row>
    <row r="159" spans="2:19" ht="18" customHeight="1" x14ac:dyDescent="0.25">
      <c r="B159" s="67"/>
      <c r="C159" s="67" t="s">
        <v>797</v>
      </c>
      <c r="D159" s="4" t="s">
        <v>71</v>
      </c>
      <c r="E159" s="30">
        <f>M152+M153</f>
        <v>416</v>
      </c>
      <c r="F159" s="11">
        <f>E159+E160</f>
        <v>420</v>
      </c>
      <c r="G159" s="11">
        <f t="shared" ref="G159" si="30">F159+F160</f>
        <v>421</v>
      </c>
      <c r="H159" s="4">
        <f t="shared" ref="H159" si="31">G159+G160</f>
        <v>423</v>
      </c>
      <c r="I159" s="11">
        <f>H159+H160</f>
        <v>424</v>
      </c>
      <c r="J159" s="11">
        <f>I159+I160</f>
        <v>426</v>
      </c>
      <c r="K159" s="11">
        <f t="shared" ref="K159" si="32">J159+J160</f>
        <v>427</v>
      </c>
      <c r="L159" s="11">
        <f t="shared" ref="L159" si="33">K159+K160</f>
        <v>429</v>
      </c>
      <c r="M159" s="4">
        <f t="shared" ref="M159" si="34">L159+L160</f>
        <v>430</v>
      </c>
      <c r="N159" s="11">
        <f t="shared" ref="N159" si="35">M159+M160</f>
        <v>431</v>
      </c>
      <c r="O159" s="11">
        <f t="shared" ref="O159" si="36">N159+N160</f>
        <v>433</v>
      </c>
      <c r="P159" s="4">
        <f t="shared" ref="P159" si="37">O159+O160</f>
        <v>434</v>
      </c>
      <c r="Q159" s="4">
        <f>P159+P160</f>
        <v>436</v>
      </c>
      <c r="R159" s="11">
        <f t="shared" ref="R159" si="38">Q159+Q160</f>
        <v>437</v>
      </c>
      <c r="S159" s="11">
        <f t="shared" ref="S159" si="39">R159+R160</f>
        <v>439</v>
      </c>
    </row>
    <row r="160" spans="2:19" ht="18" customHeight="1" x14ac:dyDescent="0.25">
      <c r="B160" s="68"/>
      <c r="C160" s="68"/>
      <c r="D160" s="4" t="s">
        <v>72</v>
      </c>
      <c r="E160" s="11">
        <v>4</v>
      </c>
      <c r="F160" s="11">
        <v>1</v>
      </c>
      <c r="G160" s="11">
        <v>2</v>
      </c>
      <c r="H160" s="4">
        <v>1</v>
      </c>
      <c r="I160" s="11">
        <v>2</v>
      </c>
      <c r="J160" s="11">
        <v>1</v>
      </c>
      <c r="K160" s="11">
        <v>2</v>
      </c>
      <c r="L160" s="11">
        <v>1</v>
      </c>
      <c r="M160" s="4">
        <v>1</v>
      </c>
      <c r="N160" s="11">
        <v>2</v>
      </c>
      <c r="O160" s="11">
        <v>1</v>
      </c>
      <c r="P160" s="4">
        <v>2</v>
      </c>
      <c r="Q160" s="4">
        <v>1</v>
      </c>
      <c r="R160" s="11">
        <v>2</v>
      </c>
      <c r="S160" s="11">
        <v>1</v>
      </c>
    </row>
    <row r="161" spans="2:19" ht="18" customHeight="1" x14ac:dyDescent="0.25">
      <c r="B161" s="68"/>
      <c r="C161" s="68"/>
      <c r="D161" s="31" t="s">
        <v>488</v>
      </c>
      <c r="E161" s="11" t="s">
        <v>715</v>
      </c>
      <c r="F161" s="11">
        <v>0</v>
      </c>
      <c r="G161" s="30">
        <f>SUM(E160:S160)</f>
        <v>24</v>
      </c>
      <c r="H161" s="4">
        <v>0</v>
      </c>
      <c r="I161" s="11"/>
      <c r="J161" s="11"/>
      <c r="K161" s="11"/>
      <c r="L161" s="11"/>
      <c r="M161" s="4"/>
      <c r="N161" s="11">
        <v>2000</v>
      </c>
      <c r="O161" s="11"/>
      <c r="P161" s="4">
        <v>2100</v>
      </c>
      <c r="Q161" s="4"/>
      <c r="R161" s="11">
        <v>2200</v>
      </c>
      <c r="S161" s="11"/>
    </row>
    <row r="162" spans="2:19" ht="60" x14ac:dyDescent="0.25">
      <c r="B162" s="69"/>
      <c r="C162" s="69"/>
      <c r="D162" s="31" t="s">
        <v>74</v>
      </c>
      <c r="E162" s="11"/>
      <c r="F162" s="15" t="s">
        <v>124</v>
      </c>
      <c r="G162" s="11"/>
      <c r="H162" s="5" t="s">
        <v>75</v>
      </c>
      <c r="I162" s="2"/>
      <c r="J162" s="3"/>
      <c r="K162" s="2"/>
      <c r="L162" s="3"/>
      <c r="M162" s="5"/>
      <c r="N162" s="2"/>
      <c r="O162" s="2"/>
      <c r="P162" s="5"/>
      <c r="Q162" s="5"/>
      <c r="R162" s="2"/>
      <c r="S162" s="2"/>
    </row>
    <row r="163" spans="2:19" ht="18" customHeight="1" x14ac:dyDescent="0.25"/>
    <row r="164" spans="2:19" ht="18" customHeight="1" x14ac:dyDescent="0.25">
      <c r="B164" s="74" t="s">
        <v>173</v>
      </c>
      <c r="C164" s="74" t="s">
        <v>172</v>
      </c>
      <c r="D164" s="78" t="s">
        <v>117</v>
      </c>
      <c r="E164" s="74" t="s">
        <v>50</v>
      </c>
      <c r="F164" s="74" t="s">
        <v>51</v>
      </c>
      <c r="G164" s="74" t="s">
        <v>52</v>
      </c>
      <c r="H164" s="12" t="s">
        <v>53</v>
      </c>
      <c r="I164" s="12" t="s">
        <v>54</v>
      </c>
      <c r="J164" s="12" t="s">
        <v>55</v>
      </c>
      <c r="K164" s="12" t="s">
        <v>56</v>
      </c>
      <c r="L164" s="12" t="s">
        <v>76</v>
      </c>
      <c r="M164" s="12" t="s">
        <v>57</v>
      </c>
      <c r="N164" s="12" t="s">
        <v>77</v>
      </c>
      <c r="O164" s="12" t="s">
        <v>47</v>
      </c>
      <c r="P164" s="12" t="s">
        <v>58</v>
      </c>
      <c r="Q164" s="12" t="s">
        <v>48</v>
      </c>
      <c r="R164" s="12" t="s">
        <v>59</v>
      </c>
      <c r="S164" s="12" t="s">
        <v>49</v>
      </c>
    </row>
    <row r="165" spans="2:19" ht="18" customHeight="1" x14ac:dyDescent="0.25">
      <c r="B165" s="75"/>
      <c r="C165" s="75"/>
      <c r="D165" s="76"/>
      <c r="E165" s="77"/>
      <c r="F165" s="77"/>
      <c r="G165" s="77"/>
      <c r="H165" s="4" t="s">
        <v>78</v>
      </c>
      <c r="I165" s="11" t="s">
        <v>60</v>
      </c>
      <c r="J165" s="11" t="s">
        <v>61</v>
      </c>
      <c r="K165" s="11" t="s">
        <v>62</v>
      </c>
      <c r="L165" s="11" t="s">
        <v>63</v>
      </c>
      <c r="M165" s="4" t="s">
        <v>64</v>
      </c>
      <c r="N165" s="11" t="s">
        <v>65</v>
      </c>
      <c r="O165" s="11" t="s">
        <v>66</v>
      </c>
      <c r="P165" s="4" t="s">
        <v>67</v>
      </c>
      <c r="Q165" s="4" t="s">
        <v>68</v>
      </c>
      <c r="R165" s="11" t="s">
        <v>69</v>
      </c>
      <c r="S165" s="11" t="s">
        <v>70</v>
      </c>
    </row>
    <row r="166" spans="2:19" ht="18" customHeight="1" x14ac:dyDescent="0.25">
      <c r="B166" s="67"/>
      <c r="C166" s="67" t="s">
        <v>798</v>
      </c>
      <c r="D166" s="4" t="s">
        <v>71</v>
      </c>
      <c r="E166" s="30">
        <f>S159+S160</f>
        <v>440</v>
      </c>
      <c r="F166" s="11">
        <f>E166+E167</f>
        <v>444</v>
      </c>
      <c r="G166" s="11">
        <f t="shared" ref="G166" si="40">F166+F167</f>
        <v>445</v>
      </c>
      <c r="H166" s="4">
        <f t="shared" ref="H166" si="41">G166+G167</f>
        <v>447</v>
      </c>
      <c r="I166" s="11">
        <f>H166+H167</f>
        <v>448</v>
      </c>
      <c r="J166" s="11">
        <f>I166+I167</f>
        <v>450</v>
      </c>
      <c r="K166" s="11">
        <f t="shared" ref="K166" si="42">J166+J167</f>
        <v>451</v>
      </c>
      <c r="L166" s="11">
        <f t="shared" ref="L166" si="43">K166+K167</f>
        <v>453</v>
      </c>
      <c r="M166" s="4">
        <f t="shared" ref="M166" si="44">L166+L167</f>
        <v>454</v>
      </c>
      <c r="N166" s="11">
        <f t="shared" ref="N166" si="45">M166+M167</f>
        <v>455</v>
      </c>
      <c r="O166" s="11">
        <f t="shared" ref="O166" si="46">N166+N167</f>
        <v>457</v>
      </c>
      <c r="P166" s="4">
        <f t="shared" ref="P166" si="47">O166+O167</f>
        <v>458</v>
      </c>
      <c r="Q166" s="4">
        <f>P166+P167</f>
        <v>460</v>
      </c>
      <c r="R166" s="11">
        <f t="shared" ref="R166" si="48">Q166+Q167</f>
        <v>461</v>
      </c>
      <c r="S166" s="11">
        <f t="shared" ref="S166" si="49">R166+R167</f>
        <v>463</v>
      </c>
    </row>
    <row r="167" spans="2:19" ht="18" customHeight="1" x14ac:dyDescent="0.25">
      <c r="B167" s="68"/>
      <c r="C167" s="68"/>
      <c r="D167" s="4" t="s">
        <v>72</v>
      </c>
      <c r="E167" s="11">
        <v>4</v>
      </c>
      <c r="F167" s="11">
        <v>1</v>
      </c>
      <c r="G167" s="11">
        <v>2</v>
      </c>
      <c r="H167" s="4">
        <v>1</v>
      </c>
      <c r="I167" s="11">
        <v>2</v>
      </c>
      <c r="J167" s="11">
        <v>1</v>
      </c>
      <c r="K167" s="11">
        <v>2</v>
      </c>
      <c r="L167" s="11">
        <v>1</v>
      </c>
      <c r="M167" s="4">
        <v>1</v>
      </c>
      <c r="N167" s="11">
        <v>2</v>
      </c>
      <c r="O167" s="11">
        <v>1</v>
      </c>
      <c r="P167" s="4">
        <v>2</v>
      </c>
      <c r="Q167" s="4">
        <v>1</v>
      </c>
      <c r="R167" s="11">
        <v>2</v>
      </c>
      <c r="S167" s="11">
        <v>1</v>
      </c>
    </row>
    <row r="168" spans="2:19" ht="18" customHeight="1" x14ac:dyDescent="0.25">
      <c r="B168" s="68"/>
      <c r="C168" s="68"/>
      <c r="D168" s="31" t="s">
        <v>488</v>
      </c>
      <c r="E168" s="11" t="s">
        <v>716</v>
      </c>
      <c r="F168" s="11">
        <v>0</v>
      </c>
      <c r="G168" s="30">
        <f>SUM(E167:S167)</f>
        <v>24</v>
      </c>
      <c r="H168" s="4">
        <v>0</v>
      </c>
      <c r="I168" s="11"/>
      <c r="J168" s="11"/>
      <c r="K168" s="11"/>
      <c r="L168" s="11"/>
      <c r="M168" s="4">
        <v>1</v>
      </c>
      <c r="N168" s="58">
        <v>2000</v>
      </c>
      <c r="O168" s="58"/>
      <c r="P168" s="57">
        <v>2100</v>
      </c>
      <c r="Q168" s="57"/>
      <c r="R168" s="58">
        <v>2200</v>
      </c>
      <c r="S168" s="58"/>
    </row>
    <row r="169" spans="2:19" ht="60" x14ac:dyDescent="0.25">
      <c r="B169" s="69"/>
      <c r="C169" s="69"/>
      <c r="D169" s="31" t="s">
        <v>74</v>
      </c>
      <c r="E169" s="11"/>
      <c r="F169" s="15" t="s">
        <v>124</v>
      </c>
      <c r="G169" s="11"/>
      <c r="H169" s="5" t="s">
        <v>75</v>
      </c>
      <c r="I169" s="2"/>
      <c r="J169" s="3"/>
      <c r="K169" s="2"/>
      <c r="L169" s="3"/>
      <c r="M169" s="5"/>
      <c r="N169" s="2"/>
      <c r="O169" s="2"/>
      <c r="P169" s="5"/>
      <c r="Q169" s="5"/>
      <c r="R169" s="2"/>
      <c r="S169" s="2"/>
    </row>
    <row r="170" spans="2:19" ht="18" customHeight="1" x14ac:dyDescent="0.25"/>
    <row r="171" spans="2:19" ht="18" customHeight="1" x14ac:dyDescent="0.25">
      <c r="B171" s="74" t="s">
        <v>173</v>
      </c>
      <c r="C171" s="74" t="s">
        <v>172</v>
      </c>
      <c r="D171" s="78" t="s">
        <v>118</v>
      </c>
      <c r="E171" s="74" t="s">
        <v>50</v>
      </c>
      <c r="F171" s="74" t="s">
        <v>51</v>
      </c>
      <c r="G171" s="74" t="s">
        <v>52</v>
      </c>
      <c r="H171" s="12" t="s">
        <v>53</v>
      </c>
      <c r="I171" s="12" t="s">
        <v>54</v>
      </c>
      <c r="J171" s="12" t="s">
        <v>17</v>
      </c>
      <c r="K171" s="12" t="s">
        <v>11</v>
      </c>
    </row>
    <row r="172" spans="2:19" ht="18" customHeight="1" x14ac:dyDescent="0.25">
      <c r="B172" s="75"/>
      <c r="C172" s="75"/>
      <c r="D172" s="76"/>
      <c r="E172" s="77"/>
      <c r="F172" s="77"/>
      <c r="G172" s="77"/>
      <c r="H172" s="4" t="s">
        <v>78</v>
      </c>
      <c r="I172" s="11" t="s">
        <v>169</v>
      </c>
      <c r="J172" s="11" t="s">
        <v>170</v>
      </c>
      <c r="K172" s="11" t="s">
        <v>171</v>
      </c>
    </row>
    <row r="173" spans="2:19" ht="18" customHeight="1" x14ac:dyDescent="0.25">
      <c r="B173" s="67"/>
      <c r="C173" s="67" t="s">
        <v>797</v>
      </c>
      <c r="D173" s="4" t="s">
        <v>71</v>
      </c>
      <c r="E173" s="30">
        <f>S166+S167</f>
        <v>464</v>
      </c>
      <c r="F173" s="11">
        <f>E173+E174</f>
        <v>468</v>
      </c>
      <c r="G173" s="11">
        <f t="shared" ref="G173" si="50">F173+F174</f>
        <v>469</v>
      </c>
      <c r="H173" s="4">
        <f t="shared" ref="H173" si="51">G173+G174</f>
        <v>471</v>
      </c>
      <c r="I173" s="11">
        <f>H173+H174</f>
        <v>472</v>
      </c>
      <c r="J173" s="11">
        <f>I173+I174</f>
        <v>474</v>
      </c>
      <c r="K173" s="11">
        <f>J173+J174</f>
        <v>476</v>
      </c>
    </row>
    <row r="174" spans="2:19" ht="18" customHeight="1" x14ac:dyDescent="0.25">
      <c r="B174" s="68"/>
      <c r="C174" s="68"/>
      <c r="D174" s="4" t="s">
        <v>72</v>
      </c>
      <c r="E174" s="11">
        <v>4</v>
      </c>
      <c r="F174" s="11">
        <v>1</v>
      </c>
      <c r="G174" s="11">
        <v>2</v>
      </c>
      <c r="H174" s="4">
        <v>1</v>
      </c>
      <c r="I174" s="11">
        <v>2</v>
      </c>
      <c r="J174" s="11">
        <v>2</v>
      </c>
      <c r="K174" s="11">
        <v>2</v>
      </c>
    </row>
    <row r="175" spans="2:19" ht="18" customHeight="1" x14ac:dyDescent="0.25">
      <c r="B175" s="68"/>
      <c r="C175" s="68"/>
      <c r="D175" s="31" t="s">
        <v>488</v>
      </c>
      <c r="E175" s="11" t="s">
        <v>717</v>
      </c>
      <c r="F175" s="11">
        <v>0</v>
      </c>
      <c r="G175" s="30">
        <f>SUM(E174:K174)</f>
        <v>14</v>
      </c>
      <c r="H175" s="4">
        <v>0</v>
      </c>
      <c r="I175" s="11"/>
      <c r="J175" s="11"/>
      <c r="K175" s="11"/>
    </row>
    <row r="176" spans="2:19" ht="60" x14ac:dyDescent="0.25">
      <c r="B176" s="69"/>
      <c r="C176" s="69"/>
      <c r="D176" s="31" t="s">
        <v>74</v>
      </c>
      <c r="E176" s="11"/>
      <c r="F176" s="15" t="s">
        <v>124</v>
      </c>
      <c r="G176" s="11"/>
      <c r="H176" s="5" t="s">
        <v>75</v>
      </c>
      <c r="I176" s="7" t="s">
        <v>166</v>
      </c>
      <c r="J176" s="7" t="s">
        <v>167</v>
      </c>
      <c r="K176" s="7" t="s">
        <v>168</v>
      </c>
    </row>
    <row r="177" spans="2:29" ht="18" customHeight="1" x14ac:dyDescent="0.25"/>
    <row r="178" spans="2:29" ht="18" customHeight="1" x14ac:dyDescent="0.25">
      <c r="B178" s="74" t="s">
        <v>296</v>
      </c>
      <c r="C178" s="74" t="s">
        <v>172</v>
      </c>
      <c r="D178" s="78" t="s">
        <v>297</v>
      </c>
      <c r="E178" s="74" t="s">
        <v>50</v>
      </c>
      <c r="F178" s="74" t="s">
        <v>298</v>
      </c>
      <c r="G178" s="74" t="s">
        <v>299</v>
      </c>
      <c r="H178" s="22" t="s">
        <v>53</v>
      </c>
      <c r="I178" s="22" t="s">
        <v>300</v>
      </c>
      <c r="J178" s="22" t="s">
        <v>301</v>
      </c>
      <c r="K178" s="22" t="s">
        <v>302</v>
      </c>
      <c r="L178" s="22" t="s">
        <v>303</v>
      </c>
    </row>
    <row r="179" spans="2:29" ht="18" customHeight="1" x14ac:dyDescent="0.25">
      <c r="B179" s="75"/>
      <c r="C179" s="75"/>
      <c r="D179" s="76"/>
      <c r="E179" s="77"/>
      <c r="F179" s="77"/>
      <c r="G179" s="77"/>
      <c r="H179" s="31" t="s">
        <v>304</v>
      </c>
      <c r="I179" s="30" t="s">
        <v>305</v>
      </c>
      <c r="J179" s="30" t="s">
        <v>306</v>
      </c>
      <c r="K179" s="30" t="s">
        <v>307</v>
      </c>
      <c r="L179" s="30" t="s">
        <v>308</v>
      </c>
    </row>
    <row r="180" spans="2:29" ht="18" customHeight="1" x14ac:dyDescent="0.25">
      <c r="B180" s="67"/>
      <c r="C180" s="67" t="s">
        <v>309</v>
      </c>
      <c r="D180" s="31" t="s">
        <v>310</v>
      </c>
      <c r="E180" s="30">
        <f>K173+K174</f>
        <v>478</v>
      </c>
      <c r="F180" s="30">
        <f>E180+E181</f>
        <v>482</v>
      </c>
      <c r="G180" s="30">
        <f t="shared" ref="G180:H180" si="52">F180+F181</f>
        <v>483</v>
      </c>
      <c r="H180" s="31">
        <f t="shared" si="52"/>
        <v>485</v>
      </c>
      <c r="I180" s="30">
        <f>H180+H181</f>
        <v>486</v>
      </c>
      <c r="J180" s="30">
        <f>I180+I181</f>
        <v>488</v>
      </c>
      <c r="K180" s="30">
        <f>J180+J181</f>
        <v>489</v>
      </c>
      <c r="L180" s="30">
        <f t="shared" ref="L180" si="53">K180+K181</f>
        <v>491</v>
      </c>
    </row>
    <row r="181" spans="2:29" ht="18" customHeight="1" x14ac:dyDescent="0.25">
      <c r="B181" s="68"/>
      <c r="C181" s="68"/>
      <c r="D181" s="31" t="s">
        <v>72</v>
      </c>
      <c r="E181" s="30">
        <v>4</v>
      </c>
      <c r="F181" s="30">
        <v>1</v>
      </c>
      <c r="G181" s="30">
        <v>2</v>
      </c>
      <c r="H181" s="31">
        <v>1</v>
      </c>
      <c r="I181" s="30">
        <v>2</v>
      </c>
      <c r="J181" s="30">
        <v>1</v>
      </c>
      <c r="K181" s="30">
        <v>2</v>
      </c>
      <c r="L181" s="30">
        <v>1</v>
      </c>
    </row>
    <row r="182" spans="2:29" ht="18" customHeight="1" x14ac:dyDescent="0.25">
      <c r="B182" s="68"/>
      <c r="C182" s="68"/>
      <c r="D182" s="31" t="s">
        <v>488</v>
      </c>
      <c r="E182" s="30" t="s">
        <v>718</v>
      </c>
      <c r="F182" s="30">
        <v>0</v>
      </c>
      <c r="G182" s="30">
        <f>SUM(E181:L181)</f>
        <v>14</v>
      </c>
      <c r="H182" s="31">
        <v>0</v>
      </c>
      <c r="I182" s="30"/>
      <c r="J182" s="30"/>
      <c r="K182" s="30"/>
      <c r="L182" s="30"/>
    </row>
    <row r="183" spans="2:29" ht="60" x14ac:dyDescent="0.25">
      <c r="B183" s="69"/>
      <c r="C183" s="69"/>
      <c r="D183" s="31" t="s">
        <v>74</v>
      </c>
      <c r="E183" s="30"/>
      <c r="F183" s="15" t="s">
        <v>124</v>
      </c>
      <c r="G183" s="30"/>
      <c r="H183" s="5" t="s">
        <v>100</v>
      </c>
      <c r="I183" s="7" t="s">
        <v>311</v>
      </c>
      <c r="J183" s="7" t="s">
        <v>312</v>
      </c>
      <c r="K183" s="7" t="s">
        <v>313</v>
      </c>
      <c r="L183" s="7" t="s">
        <v>314</v>
      </c>
    </row>
    <row r="184" spans="2:29" ht="18" customHeight="1" x14ac:dyDescent="0.25"/>
    <row r="185" spans="2:29" ht="18" customHeight="1" x14ac:dyDescent="0.25">
      <c r="B185" s="74" t="s">
        <v>174</v>
      </c>
      <c r="C185" s="74" t="s">
        <v>172</v>
      </c>
      <c r="D185" s="76" t="s">
        <v>710</v>
      </c>
      <c r="E185" s="74" t="s">
        <v>540</v>
      </c>
      <c r="F185" s="74" t="s">
        <v>541</v>
      </c>
      <c r="G185" s="74" t="s">
        <v>52</v>
      </c>
      <c r="H185" s="36" t="s">
        <v>542</v>
      </c>
      <c r="I185" s="36" t="s">
        <v>543</v>
      </c>
      <c r="J185" s="36" t="s">
        <v>544</v>
      </c>
      <c r="K185" s="36" t="s">
        <v>545</v>
      </c>
      <c r="L185" s="36" t="s">
        <v>546</v>
      </c>
      <c r="M185" s="36" t="s">
        <v>547</v>
      </c>
      <c r="N185" s="36" t="s">
        <v>548</v>
      </c>
      <c r="O185" s="36" t="s">
        <v>549</v>
      </c>
      <c r="P185" s="36" t="s">
        <v>550</v>
      </c>
      <c r="Q185" s="36" t="s">
        <v>48</v>
      </c>
      <c r="R185" s="36" t="s">
        <v>551</v>
      </c>
      <c r="S185" s="36" t="s">
        <v>552</v>
      </c>
      <c r="T185" s="36" t="s">
        <v>553</v>
      </c>
      <c r="U185" s="36" t="s">
        <v>554</v>
      </c>
      <c r="V185" s="36" t="s">
        <v>555</v>
      </c>
      <c r="W185" s="36" t="s">
        <v>556</v>
      </c>
      <c r="X185" s="36" t="s">
        <v>557</v>
      </c>
      <c r="Y185" s="36" t="s">
        <v>558</v>
      </c>
      <c r="Z185" s="36" t="s">
        <v>559</v>
      </c>
      <c r="AA185" s="36" t="s">
        <v>560</v>
      </c>
      <c r="AB185" s="36" t="s">
        <v>561</v>
      </c>
      <c r="AC185" s="36" t="s">
        <v>562</v>
      </c>
    </row>
    <row r="186" spans="2:29" ht="18" customHeight="1" x14ac:dyDescent="0.25">
      <c r="B186" s="75"/>
      <c r="C186" s="75"/>
      <c r="D186" s="76"/>
      <c r="E186" s="77"/>
      <c r="F186" s="77"/>
      <c r="G186" s="77"/>
      <c r="H186" s="31" t="s">
        <v>78</v>
      </c>
      <c r="I186" s="30" t="s">
        <v>563</v>
      </c>
      <c r="J186" s="30" t="s">
        <v>564</v>
      </c>
      <c r="K186" s="30" t="s">
        <v>565</v>
      </c>
      <c r="L186" s="30" t="s">
        <v>566</v>
      </c>
      <c r="M186" s="30" t="s">
        <v>567</v>
      </c>
      <c r="N186" s="30" t="s">
        <v>450</v>
      </c>
      <c r="O186" s="30" t="s">
        <v>568</v>
      </c>
      <c r="P186" s="30" t="s">
        <v>569</v>
      </c>
      <c r="Q186" s="30" t="s">
        <v>570</v>
      </c>
      <c r="R186" s="30" t="s">
        <v>571</v>
      </c>
      <c r="S186" s="30" t="s">
        <v>572</v>
      </c>
      <c r="T186" s="30" t="s">
        <v>573</v>
      </c>
      <c r="U186" s="30" t="s">
        <v>574</v>
      </c>
      <c r="V186" s="30" t="s">
        <v>576</v>
      </c>
      <c r="W186" s="30" t="s">
        <v>577</v>
      </c>
      <c r="X186" s="30" t="s">
        <v>579</v>
      </c>
      <c r="Y186" s="30" t="s">
        <v>580</v>
      </c>
      <c r="Z186" s="30" t="s">
        <v>581</v>
      </c>
      <c r="AA186" s="30" t="s">
        <v>582</v>
      </c>
      <c r="AB186" s="30" t="s">
        <v>584</v>
      </c>
      <c r="AC186" s="30" t="s">
        <v>585</v>
      </c>
    </row>
    <row r="187" spans="2:29" ht="18" customHeight="1" x14ac:dyDescent="0.25">
      <c r="B187" s="67"/>
      <c r="C187" s="70" t="s">
        <v>587</v>
      </c>
      <c r="D187" s="31" t="s">
        <v>588</v>
      </c>
      <c r="E187" s="30">
        <f>L180+L181</f>
        <v>492</v>
      </c>
      <c r="F187" s="30">
        <f>E187+E188</f>
        <v>496</v>
      </c>
      <c r="G187" s="30">
        <f t="shared" ref="G187:S187" si="54">F187+F188</f>
        <v>497</v>
      </c>
      <c r="H187" s="31">
        <f t="shared" si="54"/>
        <v>499</v>
      </c>
      <c r="I187" s="30">
        <f t="shared" si="54"/>
        <v>500</v>
      </c>
      <c r="J187" s="30">
        <f t="shared" si="54"/>
        <v>501</v>
      </c>
      <c r="K187" s="30">
        <f t="shared" si="54"/>
        <v>503</v>
      </c>
      <c r="L187" s="30">
        <f t="shared" si="54"/>
        <v>505</v>
      </c>
      <c r="M187" s="30">
        <f t="shared" si="54"/>
        <v>507</v>
      </c>
      <c r="N187" s="30">
        <f t="shared" si="54"/>
        <v>509</v>
      </c>
      <c r="O187" s="30">
        <f t="shared" si="54"/>
        <v>511</v>
      </c>
      <c r="P187" s="30">
        <f t="shared" si="54"/>
        <v>513</v>
      </c>
      <c r="Q187" s="30">
        <f t="shared" si="54"/>
        <v>515</v>
      </c>
      <c r="R187" s="30">
        <f t="shared" si="54"/>
        <v>516</v>
      </c>
      <c r="S187" s="30">
        <f t="shared" si="54"/>
        <v>517</v>
      </c>
      <c r="T187" s="30">
        <f>S187+S188</f>
        <v>518</v>
      </c>
      <c r="U187" s="30">
        <f t="shared" ref="U187:W187" si="55">T187+T188</f>
        <v>519</v>
      </c>
      <c r="V187" s="30">
        <f t="shared" si="55"/>
        <v>520</v>
      </c>
      <c r="W187" s="30">
        <f t="shared" si="55"/>
        <v>521</v>
      </c>
      <c r="X187" s="30">
        <f>W187+W188</f>
        <v>522</v>
      </c>
      <c r="Y187" s="30">
        <f t="shared" ref="Y187:AB187" si="56">X187+X188</f>
        <v>523</v>
      </c>
      <c r="Z187" s="30">
        <f t="shared" si="56"/>
        <v>524</v>
      </c>
      <c r="AA187" s="30">
        <f t="shared" si="56"/>
        <v>525</v>
      </c>
      <c r="AB187" s="30">
        <f t="shared" si="56"/>
        <v>526</v>
      </c>
      <c r="AC187" s="30">
        <f>AB187+AB188</f>
        <v>527</v>
      </c>
    </row>
    <row r="188" spans="2:29" ht="18" customHeight="1" x14ac:dyDescent="0.25">
      <c r="B188" s="68"/>
      <c r="C188" s="68"/>
      <c r="D188" s="31" t="s">
        <v>589</v>
      </c>
      <c r="E188" s="30">
        <v>4</v>
      </c>
      <c r="F188" s="30">
        <v>1</v>
      </c>
      <c r="G188" s="30">
        <v>2</v>
      </c>
      <c r="H188" s="31">
        <v>1</v>
      </c>
      <c r="I188" s="30">
        <v>1</v>
      </c>
      <c r="J188" s="30">
        <v>2</v>
      </c>
      <c r="K188" s="30">
        <v>2</v>
      </c>
      <c r="L188" s="30">
        <v>2</v>
      </c>
      <c r="M188" s="30">
        <v>2</v>
      </c>
      <c r="N188" s="30">
        <v>2</v>
      </c>
      <c r="O188" s="30">
        <v>2</v>
      </c>
      <c r="P188" s="30">
        <v>2</v>
      </c>
      <c r="Q188" s="30">
        <v>1</v>
      </c>
      <c r="R188" s="30">
        <v>1</v>
      </c>
      <c r="S188" s="30">
        <v>1</v>
      </c>
      <c r="T188" s="30">
        <v>1</v>
      </c>
      <c r="U188" s="30">
        <v>1</v>
      </c>
      <c r="V188" s="30">
        <v>1</v>
      </c>
      <c r="W188" s="30">
        <v>1</v>
      </c>
      <c r="X188" s="30">
        <v>1</v>
      </c>
      <c r="Y188" s="30">
        <v>1</v>
      </c>
      <c r="Z188" s="30">
        <v>1</v>
      </c>
      <c r="AA188" s="30">
        <v>1</v>
      </c>
      <c r="AB188" s="30">
        <v>1</v>
      </c>
      <c r="AC188" s="30">
        <v>1</v>
      </c>
    </row>
    <row r="189" spans="2:29" ht="18" customHeight="1" x14ac:dyDescent="0.25">
      <c r="B189" s="68"/>
      <c r="C189" s="68"/>
      <c r="D189" s="31" t="s">
        <v>488</v>
      </c>
      <c r="E189" s="30" t="s">
        <v>719</v>
      </c>
      <c r="F189" s="30">
        <v>0</v>
      </c>
      <c r="G189" s="30">
        <f>SUM(E188:AC188)</f>
        <v>36</v>
      </c>
      <c r="H189" s="31">
        <v>0</v>
      </c>
      <c r="I189" s="30" t="s">
        <v>591</v>
      </c>
      <c r="J189" s="30" t="s">
        <v>592</v>
      </c>
      <c r="K189" s="30" t="s">
        <v>593</v>
      </c>
      <c r="L189" s="30" t="s">
        <v>593</v>
      </c>
      <c r="M189" s="30" t="s">
        <v>593</v>
      </c>
      <c r="N189" s="30" t="s">
        <v>593</v>
      </c>
      <c r="O189" s="30" t="s">
        <v>593</v>
      </c>
      <c r="P189" s="30" t="s">
        <v>593</v>
      </c>
      <c r="Q189" s="30" t="s">
        <v>594</v>
      </c>
      <c r="R189" s="30" t="s">
        <v>594</v>
      </c>
      <c r="S189" s="30" t="s">
        <v>594</v>
      </c>
      <c r="T189" s="30" t="s">
        <v>594</v>
      </c>
      <c r="U189" s="30" t="s">
        <v>594</v>
      </c>
      <c r="V189" s="30" t="s">
        <v>594</v>
      </c>
      <c r="W189" s="30" t="s">
        <v>594</v>
      </c>
      <c r="X189" s="30" t="s">
        <v>594</v>
      </c>
      <c r="Y189" s="30" t="s">
        <v>594</v>
      </c>
      <c r="Z189" s="30" t="s">
        <v>595</v>
      </c>
      <c r="AA189" s="30" t="s">
        <v>594</v>
      </c>
      <c r="AB189" s="30" t="s">
        <v>594</v>
      </c>
      <c r="AC189" s="30" t="s">
        <v>594</v>
      </c>
    </row>
    <row r="190" spans="2:29" ht="60" x14ac:dyDescent="0.25">
      <c r="B190" s="69"/>
      <c r="C190" s="69"/>
      <c r="D190" s="31" t="s">
        <v>74</v>
      </c>
      <c r="E190" s="30"/>
      <c r="F190" s="15" t="s">
        <v>597</v>
      </c>
      <c r="G190" s="30"/>
      <c r="H190" s="5" t="s">
        <v>598</v>
      </c>
      <c r="I190" s="2"/>
      <c r="J190" s="2"/>
      <c r="K190" s="2"/>
      <c r="L190" s="71"/>
      <c r="M190" s="72"/>
      <c r="N190" s="71"/>
      <c r="O190" s="73"/>
      <c r="P190" s="72"/>
      <c r="Q190" s="71"/>
      <c r="R190" s="73"/>
      <c r="S190" s="73"/>
      <c r="T190" s="72"/>
      <c r="U190" s="71"/>
      <c r="V190" s="73"/>
      <c r="W190" s="73"/>
      <c r="X190" s="72"/>
      <c r="Y190" s="71"/>
      <c r="Z190" s="73"/>
      <c r="AA190" s="73"/>
      <c r="AB190" s="73"/>
      <c r="AC190" s="72"/>
    </row>
    <row r="191" spans="2:29" ht="18" customHeight="1" x14ac:dyDescent="0.25"/>
    <row r="192" spans="2:29" ht="18" customHeight="1" x14ac:dyDescent="0.25">
      <c r="B192" s="74" t="s">
        <v>174</v>
      </c>
      <c r="C192" s="74" t="s">
        <v>172</v>
      </c>
      <c r="D192" s="76" t="s">
        <v>711</v>
      </c>
      <c r="E192" s="74" t="s">
        <v>599</v>
      </c>
      <c r="F192" s="74" t="s">
        <v>600</v>
      </c>
      <c r="G192" s="74" t="s">
        <v>601</v>
      </c>
      <c r="H192" s="36" t="s">
        <v>602</v>
      </c>
      <c r="I192" s="36" t="s">
        <v>603</v>
      </c>
      <c r="J192" s="36" t="s">
        <v>84</v>
      </c>
      <c r="K192" s="36" t="s">
        <v>56</v>
      </c>
      <c r="L192" s="36" t="s">
        <v>604</v>
      </c>
      <c r="M192" s="36" t="s">
        <v>440</v>
      </c>
      <c r="N192" s="36" t="s">
        <v>605</v>
      </c>
      <c r="O192" s="36" t="s">
        <v>606</v>
      </c>
      <c r="P192" s="36" t="s">
        <v>607</v>
      </c>
      <c r="Q192" s="36" t="s">
        <v>608</v>
      </c>
      <c r="R192" s="36" t="s">
        <v>609</v>
      </c>
      <c r="S192" s="36" t="s">
        <v>49</v>
      </c>
      <c r="T192" s="36" t="s">
        <v>610</v>
      </c>
      <c r="U192" s="36" t="s">
        <v>611</v>
      </c>
      <c r="V192" s="36" t="s">
        <v>612</v>
      </c>
      <c r="W192" s="36" t="s">
        <v>556</v>
      </c>
      <c r="X192" s="36" t="s">
        <v>613</v>
      </c>
      <c r="Y192" s="36" t="s">
        <v>614</v>
      </c>
      <c r="Z192" s="36" t="s">
        <v>615</v>
      </c>
      <c r="AA192" s="36" t="s">
        <v>616</v>
      </c>
      <c r="AB192" s="36" t="s">
        <v>617</v>
      </c>
      <c r="AC192" s="36" t="s">
        <v>618</v>
      </c>
    </row>
    <row r="193" spans="2:29" ht="18" customHeight="1" x14ac:dyDescent="0.25">
      <c r="B193" s="75"/>
      <c r="C193" s="75"/>
      <c r="D193" s="76"/>
      <c r="E193" s="77"/>
      <c r="F193" s="77"/>
      <c r="G193" s="77"/>
      <c r="H193" s="31" t="s">
        <v>619</v>
      </c>
      <c r="I193" s="30" t="s">
        <v>620</v>
      </c>
      <c r="J193" s="30" t="s">
        <v>621</v>
      </c>
      <c r="K193" s="30" t="s">
        <v>622</v>
      </c>
      <c r="L193" s="30" t="s">
        <v>623</v>
      </c>
      <c r="M193" s="30" t="s">
        <v>624</v>
      </c>
      <c r="N193" s="30" t="s">
        <v>450</v>
      </c>
      <c r="O193" s="30" t="s">
        <v>625</v>
      </c>
      <c r="P193" s="30" t="s">
        <v>626</v>
      </c>
      <c r="Q193" s="30" t="s">
        <v>627</v>
      </c>
      <c r="R193" s="30" t="s">
        <v>628</v>
      </c>
      <c r="S193" s="30" t="s">
        <v>629</v>
      </c>
      <c r="T193" s="30" t="s">
        <v>630</v>
      </c>
      <c r="U193" s="30" t="s">
        <v>631</v>
      </c>
      <c r="V193" s="30" t="s">
        <v>632</v>
      </c>
      <c r="W193" s="30" t="s">
        <v>577</v>
      </c>
      <c r="X193" s="30" t="s">
        <v>633</v>
      </c>
      <c r="Y193" s="30" t="s">
        <v>634</v>
      </c>
      <c r="Z193" s="30" t="s">
        <v>635</v>
      </c>
      <c r="AA193" s="30" t="s">
        <v>636</v>
      </c>
      <c r="AB193" s="30" t="s">
        <v>583</v>
      </c>
      <c r="AC193" s="30" t="s">
        <v>637</v>
      </c>
    </row>
    <row r="194" spans="2:29" ht="18" customHeight="1" x14ac:dyDescent="0.25">
      <c r="B194" s="67"/>
      <c r="C194" s="70" t="s">
        <v>586</v>
      </c>
      <c r="D194" s="31" t="s">
        <v>638</v>
      </c>
      <c r="E194" s="30">
        <f>AC187+AC188</f>
        <v>528</v>
      </c>
      <c r="F194" s="30">
        <f>E194+E195</f>
        <v>532</v>
      </c>
      <c r="G194" s="30">
        <f t="shared" ref="G194:S194" si="57">F194+F195</f>
        <v>533</v>
      </c>
      <c r="H194" s="31">
        <f t="shared" si="57"/>
        <v>535</v>
      </c>
      <c r="I194" s="30">
        <f t="shared" si="57"/>
        <v>536</v>
      </c>
      <c r="J194" s="30">
        <f t="shared" si="57"/>
        <v>537</v>
      </c>
      <c r="K194" s="30">
        <f t="shared" si="57"/>
        <v>539</v>
      </c>
      <c r="L194" s="30">
        <f t="shared" si="57"/>
        <v>541</v>
      </c>
      <c r="M194" s="30">
        <f t="shared" si="57"/>
        <v>543</v>
      </c>
      <c r="N194" s="30">
        <f t="shared" si="57"/>
        <v>545</v>
      </c>
      <c r="O194" s="30">
        <f t="shared" si="57"/>
        <v>547</v>
      </c>
      <c r="P194" s="30">
        <f t="shared" si="57"/>
        <v>549</v>
      </c>
      <c r="Q194" s="30">
        <f t="shared" si="57"/>
        <v>551</v>
      </c>
      <c r="R194" s="30">
        <f t="shared" si="57"/>
        <v>552</v>
      </c>
      <c r="S194" s="30">
        <f t="shared" si="57"/>
        <v>553</v>
      </c>
      <c r="T194" s="30">
        <f>S194+S195</f>
        <v>554</v>
      </c>
      <c r="U194" s="30">
        <f t="shared" ref="U194:W194" si="58">T194+T195</f>
        <v>555</v>
      </c>
      <c r="V194" s="30">
        <f t="shared" si="58"/>
        <v>556</v>
      </c>
      <c r="W194" s="30">
        <f t="shared" si="58"/>
        <v>557</v>
      </c>
      <c r="X194" s="30">
        <f>W194+W195</f>
        <v>558</v>
      </c>
      <c r="Y194" s="30">
        <f t="shared" ref="Y194:AB194" si="59">X194+X195</f>
        <v>559</v>
      </c>
      <c r="Z194" s="30">
        <f t="shared" si="59"/>
        <v>560</v>
      </c>
      <c r="AA194" s="30">
        <f t="shared" si="59"/>
        <v>561</v>
      </c>
      <c r="AB194" s="30">
        <f t="shared" si="59"/>
        <v>562</v>
      </c>
      <c r="AC194" s="30">
        <f>AB194+AB195</f>
        <v>563</v>
      </c>
    </row>
    <row r="195" spans="2:29" ht="18" customHeight="1" x14ac:dyDescent="0.25">
      <c r="B195" s="68"/>
      <c r="C195" s="68"/>
      <c r="D195" s="31" t="s">
        <v>639</v>
      </c>
      <c r="E195" s="30">
        <v>4</v>
      </c>
      <c r="F195" s="30">
        <v>1</v>
      </c>
      <c r="G195" s="30">
        <v>2</v>
      </c>
      <c r="H195" s="31">
        <v>1</v>
      </c>
      <c r="I195" s="30">
        <v>1</v>
      </c>
      <c r="J195" s="30">
        <v>2</v>
      </c>
      <c r="K195" s="30">
        <v>2</v>
      </c>
      <c r="L195" s="30">
        <v>2</v>
      </c>
      <c r="M195" s="30">
        <v>2</v>
      </c>
      <c r="N195" s="30">
        <v>2</v>
      </c>
      <c r="O195" s="30">
        <v>2</v>
      </c>
      <c r="P195" s="30">
        <v>2</v>
      </c>
      <c r="Q195" s="30">
        <v>1</v>
      </c>
      <c r="R195" s="30">
        <v>1</v>
      </c>
      <c r="S195" s="30">
        <v>1</v>
      </c>
      <c r="T195" s="30">
        <v>1</v>
      </c>
      <c r="U195" s="30">
        <v>1</v>
      </c>
      <c r="V195" s="30">
        <v>1</v>
      </c>
      <c r="W195" s="30">
        <v>1</v>
      </c>
      <c r="X195" s="30">
        <v>1</v>
      </c>
      <c r="Y195" s="30">
        <v>1</v>
      </c>
      <c r="Z195" s="30">
        <v>1</v>
      </c>
      <c r="AA195" s="30">
        <v>1</v>
      </c>
      <c r="AB195" s="30">
        <v>1</v>
      </c>
      <c r="AC195" s="30">
        <v>1</v>
      </c>
    </row>
    <row r="196" spans="2:29" ht="18" customHeight="1" x14ac:dyDescent="0.25">
      <c r="B196" s="68"/>
      <c r="C196" s="68"/>
      <c r="D196" s="31" t="s">
        <v>488</v>
      </c>
      <c r="E196" s="30" t="s">
        <v>720</v>
      </c>
      <c r="F196" s="30">
        <v>0</v>
      </c>
      <c r="G196" s="30">
        <f>SUM(E195:AC195)</f>
        <v>36</v>
      </c>
      <c r="H196" s="31">
        <v>0</v>
      </c>
      <c r="I196" s="30" t="s">
        <v>640</v>
      </c>
      <c r="J196" s="30" t="s">
        <v>641</v>
      </c>
      <c r="K196" s="30" t="s">
        <v>641</v>
      </c>
      <c r="L196" s="30" t="s">
        <v>641</v>
      </c>
      <c r="M196" s="30" t="s">
        <v>642</v>
      </c>
      <c r="N196" s="30" t="s">
        <v>642</v>
      </c>
      <c r="O196" s="30" t="s">
        <v>641</v>
      </c>
      <c r="P196" s="30" t="s">
        <v>641</v>
      </c>
      <c r="Q196" s="30" t="s">
        <v>643</v>
      </c>
      <c r="R196" s="30" t="s">
        <v>644</v>
      </c>
      <c r="S196" s="30" t="s">
        <v>644</v>
      </c>
      <c r="T196" s="30" t="s">
        <v>645</v>
      </c>
      <c r="U196" s="30" t="s">
        <v>646</v>
      </c>
      <c r="V196" s="30" t="s">
        <v>645</v>
      </c>
      <c r="W196" s="30" t="s">
        <v>644</v>
      </c>
      <c r="X196" s="30" t="s">
        <v>644</v>
      </c>
      <c r="Y196" s="30" t="s">
        <v>644</v>
      </c>
      <c r="Z196" s="30" t="s">
        <v>644</v>
      </c>
      <c r="AA196" s="30" t="s">
        <v>644</v>
      </c>
      <c r="AB196" s="30" t="s">
        <v>644</v>
      </c>
      <c r="AC196" s="30" t="s">
        <v>644</v>
      </c>
    </row>
    <row r="197" spans="2:29" ht="60" x14ac:dyDescent="0.25">
      <c r="B197" s="69"/>
      <c r="C197" s="69"/>
      <c r="D197" s="31" t="s">
        <v>74</v>
      </c>
      <c r="E197" s="30"/>
      <c r="F197" s="15" t="s">
        <v>647</v>
      </c>
      <c r="G197" s="30"/>
      <c r="H197" s="5" t="s">
        <v>648</v>
      </c>
      <c r="I197" s="2"/>
      <c r="J197" s="2"/>
      <c r="K197" s="2"/>
      <c r="L197" s="71"/>
      <c r="M197" s="72"/>
      <c r="N197" s="71"/>
      <c r="O197" s="73"/>
      <c r="P197" s="72"/>
      <c r="Q197" s="71"/>
      <c r="R197" s="73"/>
      <c r="S197" s="73"/>
      <c r="T197" s="72"/>
      <c r="U197" s="71"/>
      <c r="V197" s="73"/>
      <c r="W197" s="73"/>
      <c r="X197" s="72"/>
      <c r="Y197" s="71"/>
      <c r="Z197" s="73"/>
      <c r="AA197" s="73"/>
      <c r="AB197" s="73"/>
      <c r="AC197" s="72"/>
    </row>
    <row r="198" spans="2:29" ht="18" customHeight="1" x14ac:dyDescent="0.25"/>
    <row r="199" spans="2:29" ht="18" customHeight="1" x14ac:dyDescent="0.25">
      <c r="B199" s="74" t="s">
        <v>649</v>
      </c>
      <c r="C199" s="74" t="s">
        <v>172</v>
      </c>
      <c r="D199" s="76" t="s">
        <v>712</v>
      </c>
      <c r="E199" s="74" t="s">
        <v>540</v>
      </c>
      <c r="F199" s="74" t="s">
        <v>541</v>
      </c>
      <c r="G199" s="74" t="s">
        <v>650</v>
      </c>
      <c r="H199" s="36" t="s">
        <v>542</v>
      </c>
      <c r="I199" s="36" t="s">
        <v>543</v>
      </c>
      <c r="J199" s="36" t="s">
        <v>544</v>
      </c>
      <c r="K199" s="36" t="s">
        <v>545</v>
      </c>
      <c r="L199" s="36" t="s">
        <v>651</v>
      </c>
      <c r="M199" s="36" t="s">
        <v>547</v>
      </c>
      <c r="N199" s="36" t="s">
        <v>548</v>
      </c>
      <c r="O199" s="36" t="s">
        <v>549</v>
      </c>
      <c r="P199" s="36" t="s">
        <v>550</v>
      </c>
      <c r="Q199" s="36" t="s">
        <v>652</v>
      </c>
      <c r="R199" s="36" t="s">
        <v>653</v>
      </c>
      <c r="S199" s="36" t="s">
        <v>552</v>
      </c>
      <c r="T199" s="36" t="s">
        <v>654</v>
      </c>
      <c r="U199" s="36" t="s">
        <v>611</v>
      </c>
      <c r="V199" s="36" t="s">
        <v>555</v>
      </c>
      <c r="W199" s="36" t="s">
        <v>655</v>
      </c>
      <c r="X199" s="36" t="s">
        <v>613</v>
      </c>
      <c r="Y199" s="36" t="s">
        <v>558</v>
      </c>
      <c r="Z199" s="36" t="s">
        <v>656</v>
      </c>
      <c r="AA199" s="36" t="s">
        <v>560</v>
      </c>
      <c r="AB199" s="36" t="s">
        <v>561</v>
      </c>
      <c r="AC199" s="36" t="s">
        <v>562</v>
      </c>
    </row>
    <row r="200" spans="2:29" ht="18" customHeight="1" x14ac:dyDescent="0.25">
      <c r="B200" s="75"/>
      <c r="C200" s="75"/>
      <c r="D200" s="76"/>
      <c r="E200" s="77"/>
      <c r="F200" s="77"/>
      <c r="G200" s="77"/>
      <c r="H200" s="31" t="s">
        <v>657</v>
      </c>
      <c r="I200" s="30" t="s">
        <v>563</v>
      </c>
      <c r="J200" s="30" t="s">
        <v>564</v>
      </c>
      <c r="K200" s="30" t="s">
        <v>565</v>
      </c>
      <c r="L200" s="30" t="s">
        <v>566</v>
      </c>
      <c r="M200" s="30" t="s">
        <v>567</v>
      </c>
      <c r="N200" s="30" t="s">
        <v>658</v>
      </c>
      <c r="O200" s="30" t="s">
        <v>446</v>
      </c>
      <c r="P200" s="30" t="s">
        <v>569</v>
      </c>
      <c r="Q200" s="30" t="s">
        <v>570</v>
      </c>
      <c r="R200" s="30" t="s">
        <v>659</v>
      </c>
      <c r="S200" s="30" t="s">
        <v>572</v>
      </c>
      <c r="T200" s="30" t="s">
        <v>573</v>
      </c>
      <c r="U200" s="30" t="s">
        <v>574</v>
      </c>
      <c r="V200" s="30" t="s">
        <v>576</v>
      </c>
      <c r="W200" s="30" t="s">
        <v>660</v>
      </c>
      <c r="X200" s="30" t="s">
        <v>578</v>
      </c>
      <c r="Y200" s="30" t="s">
        <v>580</v>
      </c>
      <c r="Z200" s="30" t="s">
        <v>581</v>
      </c>
      <c r="AA200" s="30" t="s">
        <v>582</v>
      </c>
      <c r="AB200" s="30" t="s">
        <v>584</v>
      </c>
      <c r="AC200" s="30" t="s">
        <v>661</v>
      </c>
    </row>
    <row r="201" spans="2:29" ht="18" customHeight="1" x14ac:dyDescent="0.25">
      <c r="B201" s="67"/>
      <c r="C201" s="70" t="s">
        <v>587</v>
      </c>
      <c r="D201" s="31" t="s">
        <v>588</v>
      </c>
      <c r="E201" s="30">
        <f>AC194+AC195</f>
        <v>564</v>
      </c>
      <c r="F201" s="30">
        <f>E201+E202</f>
        <v>568</v>
      </c>
      <c r="G201" s="30">
        <f t="shared" ref="G201:S201" si="60">F201+F202</f>
        <v>569</v>
      </c>
      <c r="H201" s="31">
        <f t="shared" si="60"/>
        <v>571</v>
      </c>
      <c r="I201" s="30">
        <f t="shared" si="60"/>
        <v>572</v>
      </c>
      <c r="J201" s="30">
        <f t="shared" si="60"/>
        <v>573</v>
      </c>
      <c r="K201" s="30">
        <f t="shared" si="60"/>
        <v>575</v>
      </c>
      <c r="L201" s="30">
        <f t="shared" si="60"/>
        <v>577</v>
      </c>
      <c r="M201" s="30">
        <f t="shared" si="60"/>
        <v>579</v>
      </c>
      <c r="N201" s="30">
        <f t="shared" si="60"/>
        <v>581</v>
      </c>
      <c r="O201" s="30">
        <f t="shared" si="60"/>
        <v>583</v>
      </c>
      <c r="P201" s="30">
        <f t="shared" si="60"/>
        <v>585</v>
      </c>
      <c r="Q201" s="30">
        <f t="shared" si="60"/>
        <v>587</v>
      </c>
      <c r="R201" s="30">
        <f t="shared" si="60"/>
        <v>588</v>
      </c>
      <c r="S201" s="30">
        <f t="shared" si="60"/>
        <v>589</v>
      </c>
      <c r="T201" s="30">
        <f>S201+S202</f>
        <v>590</v>
      </c>
      <c r="U201" s="30">
        <f t="shared" ref="U201:W201" si="61">T201+T202</f>
        <v>591</v>
      </c>
      <c r="V201" s="30">
        <f t="shared" si="61"/>
        <v>592</v>
      </c>
      <c r="W201" s="30">
        <f t="shared" si="61"/>
        <v>593</v>
      </c>
      <c r="X201" s="30">
        <f>W201+W202</f>
        <v>594</v>
      </c>
      <c r="Y201" s="30">
        <f t="shared" ref="Y201:AB201" si="62">X201+X202</f>
        <v>595</v>
      </c>
      <c r="Z201" s="30">
        <f t="shared" si="62"/>
        <v>596</v>
      </c>
      <c r="AA201" s="30">
        <f t="shared" si="62"/>
        <v>597</v>
      </c>
      <c r="AB201" s="30">
        <f t="shared" si="62"/>
        <v>598</v>
      </c>
      <c r="AC201" s="30">
        <f>AB201+AB202</f>
        <v>599</v>
      </c>
    </row>
    <row r="202" spans="2:29" ht="18" customHeight="1" x14ac:dyDescent="0.25">
      <c r="B202" s="68"/>
      <c r="C202" s="68"/>
      <c r="D202" s="31" t="s">
        <v>589</v>
      </c>
      <c r="E202" s="30">
        <v>4</v>
      </c>
      <c r="F202" s="30">
        <v>1</v>
      </c>
      <c r="G202" s="30">
        <v>2</v>
      </c>
      <c r="H202" s="31">
        <v>1</v>
      </c>
      <c r="I202" s="30">
        <v>1</v>
      </c>
      <c r="J202" s="30">
        <v>2</v>
      </c>
      <c r="K202" s="30">
        <v>2</v>
      </c>
      <c r="L202" s="30">
        <v>2</v>
      </c>
      <c r="M202" s="30">
        <v>2</v>
      </c>
      <c r="N202" s="30">
        <v>2</v>
      </c>
      <c r="O202" s="30">
        <v>2</v>
      </c>
      <c r="P202" s="30">
        <v>2</v>
      </c>
      <c r="Q202" s="30">
        <v>1</v>
      </c>
      <c r="R202" s="30">
        <v>1</v>
      </c>
      <c r="S202" s="30">
        <v>1</v>
      </c>
      <c r="T202" s="30">
        <v>1</v>
      </c>
      <c r="U202" s="30">
        <v>1</v>
      </c>
      <c r="V202" s="30">
        <v>1</v>
      </c>
      <c r="W202" s="30">
        <v>1</v>
      </c>
      <c r="X202" s="30">
        <v>1</v>
      </c>
      <c r="Y202" s="30">
        <v>1</v>
      </c>
      <c r="Z202" s="30">
        <v>1</v>
      </c>
      <c r="AA202" s="30">
        <v>1</v>
      </c>
      <c r="AB202" s="30">
        <v>1</v>
      </c>
      <c r="AC202" s="30">
        <v>1</v>
      </c>
    </row>
    <row r="203" spans="2:29" ht="18" customHeight="1" x14ac:dyDescent="0.25">
      <c r="B203" s="68"/>
      <c r="C203" s="68"/>
      <c r="D203" s="31" t="s">
        <v>488</v>
      </c>
      <c r="E203" s="30" t="s">
        <v>721</v>
      </c>
      <c r="F203" s="30">
        <v>0</v>
      </c>
      <c r="G203" s="30">
        <f>SUM(E202:AC202)</f>
        <v>36</v>
      </c>
      <c r="H203" s="31">
        <v>0</v>
      </c>
      <c r="I203" s="30" t="s">
        <v>591</v>
      </c>
      <c r="J203" s="30" t="s">
        <v>593</v>
      </c>
      <c r="K203" s="30" t="s">
        <v>593</v>
      </c>
      <c r="L203" s="30" t="s">
        <v>593</v>
      </c>
      <c r="M203" s="30" t="s">
        <v>593</v>
      </c>
      <c r="N203" s="30" t="s">
        <v>593</v>
      </c>
      <c r="O203" s="30" t="s">
        <v>593</v>
      </c>
      <c r="P203" s="30" t="s">
        <v>593</v>
      </c>
      <c r="Q203" s="30" t="s">
        <v>594</v>
      </c>
      <c r="R203" s="30" t="s">
        <v>594</v>
      </c>
      <c r="S203" s="30" t="s">
        <v>594</v>
      </c>
      <c r="T203" s="30" t="s">
        <v>594</v>
      </c>
      <c r="U203" s="30" t="s">
        <v>594</v>
      </c>
      <c r="V203" s="30" t="s">
        <v>594</v>
      </c>
      <c r="W203" s="30" t="s">
        <v>594</v>
      </c>
      <c r="X203" s="30" t="s">
        <v>594</v>
      </c>
      <c r="Y203" s="30" t="s">
        <v>594</v>
      </c>
      <c r="Z203" s="30" t="s">
        <v>594</v>
      </c>
      <c r="AA203" s="30" t="s">
        <v>594</v>
      </c>
      <c r="AB203" s="30" t="s">
        <v>594</v>
      </c>
      <c r="AC203" s="30" t="s">
        <v>594</v>
      </c>
    </row>
    <row r="204" spans="2:29" ht="60" x14ac:dyDescent="0.25">
      <c r="B204" s="69"/>
      <c r="C204" s="69"/>
      <c r="D204" s="31" t="s">
        <v>74</v>
      </c>
      <c r="E204" s="30"/>
      <c r="F204" s="15" t="s">
        <v>597</v>
      </c>
      <c r="G204" s="30"/>
      <c r="H204" s="5" t="s">
        <v>598</v>
      </c>
      <c r="I204" s="2"/>
      <c r="J204" s="2"/>
      <c r="K204" s="2"/>
      <c r="L204" s="71"/>
      <c r="M204" s="72"/>
      <c r="N204" s="71"/>
      <c r="O204" s="73"/>
      <c r="P204" s="72"/>
      <c r="Q204" s="71"/>
      <c r="R204" s="73"/>
      <c r="S204" s="73"/>
      <c r="T204" s="72"/>
      <c r="U204" s="71"/>
      <c r="V204" s="73"/>
      <c r="W204" s="73"/>
      <c r="X204" s="72"/>
      <c r="Y204" s="71"/>
      <c r="Z204" s="73"/>
      <c r="AA204" s="73"/>
      <c r="AB204" s="73"/>
      <c r="AC204" s="72"/>
    </row>
    <row r="205" spans="2:29" ht="18" customHeight="1" x14ac:dyDescent="0.25"/>
    <row r="206" spans="2:29" ht="18" customHeight="1" x14ac:dyDescent="0.25">
      <c r="B206" s="74" t="s">
        <v>173</v>
      </c>
      <c r="C206" s="74" t="s">
        <v>172</v>
      </c>
      <c r="D206" s="76" t="s">
        <v>713</v>
      </c>
      <c r="E206" s="74" t="s">
        <v>662</v>
      </c>
      <c r="F206" s="74" t="s">
        <v>663</v>
      </c>
      <c r="G206" s="74" t="s">
        <v>664</v>
      </c>
      <c r="H206" s="36" t="s">
        <v>665</v>
      </c>
      <c r="I206" s="36" t="s">
        <v>666</v>
      </c>
      <c r="J206" s="36" t="s">
        <v>667</v>
      </c>
      <c r="K206" s="36" t="s">
        <v>668</v>
      </c>
      <c r="L206" s="36" t="s">
        <v>669</v>
      </c>
      <c r="M206" s="36" t="s">
        <v>670</v>
      </c>
      <c r="N206" s="36" t="s">
        <v>671</v>
      </c>
      <c r="O206" s="36" t="s">
        <v>672</v>
      </c>
      <c r="P206" s="36" t="s">
        <v>673</v>
      </c>
      <c r="Q206" s="36" t="s">
        <v>48</v>
      </c>
      <c r="R206" s="36" t="s">
        <v>674</v>
      </c>
      <c r="S206" s="36" t="s">
        <v>49</v>
      </c>
      <c r="T206" s="36" t="s">
        <v>675</v>
      </c>
      <c r="U206" s="36" t="s">
        <v>676</v>
      </c>
      <c r="V206" s="36" t="s">
        <v>677</v>
      </c>
      <c r="W206" s="36" t="s">
        <v>556</v>
      </c>
      <c r="X206" s="36" t="s">
        <v>678</v>
      </c>
      <c r="Y206" s="36" t="s">
        <v>679</v>
      </c>
      <c r="Z206" s="36" t="s">
        <v>680</v>
      </c>
      <c r="AA206" s="36" t="s">
        <v>681</v>
      </c>
      <c r="AB206" s="36" t="s">
        <v>617</v>
      </c>
      <c r="AC206" s="36" t="s">
        <v>682</v>
      </c>
    </row>
    <row r="207" spans="2:29" ht="18" customHeight="1" x14ac:dyDescent="0.25">
      <c r="B207" s="75"/>
      <c r="C207" s="75"/>
      <c r="D207" s="76"/>
      <c r="E207" s="77"/>
      <c r="F207" s="77"/>
      <c r="G207" s="77"/>
      <c r="H207" s="31" t="s">
        <v>683</v>
      </c>
      <c r="I207" s="30" t="s">
        <v>441</v>
      </c>
      <c r="J207" s="30" t="s">
        <v>684</v>
      </c>
      <c r="K207" s="30" t="s">
        <v>472</v>
      </c>
      <c r="L207" s="30" t="s">
        <v>685</v>
      </c>
      <c r="M207" s="30" t="s">
        <v>686</v>
      </c>
      <c r="N207" s="30" t="s">
        <v>687</v>
      </c>
      <c r="O207" s="30" t="s">
        <v>688</v>
      </c>
      <c r="P207" s="30" t="s">
        <v>451</v>
      </c>
      <c r="Q207" s="30" t="s">
        <v>689</v>
      </c>
      <c r="R207" s="30" t="s">
        <v>690</v>
      </c>
      <c r="S207" s="30" t="s">
        <v>691</v>
      </c>
      <c r="T207" s="30" t="s">
        <v>692</v>
      </c>
      <c r="U207" s="30" t="s">
        <v>693</v>
      </c>
      <c r="V207" s="30" t="s">
        <v>575</v>
      </c>
      <c r="W207" s="30" t="s">
        <v>694</v>
      </c>
      <c r="X207" s="30" t="s">
        <v>695</v>
      </c>
      <c r="Y207" s="30" t="s">
        <v>696</v>
      </c>
      <c r="Z207" s="30" t="s">
        <v>697</v>
      </c>
      <c r="AA207" s="30" t="s">
        <v>698</v>
      </c>
      <c r="AB207" s="30" t="s">
        <v>699</v>
      </c>
      <c r="AC207" s="30" t="s">
        <v>700</v>
      </c>
    </row>
    <row r="208" spans="2:29" ht="18" customHeight="1" x14ac:dyDescent="0.25">
      <c r="B208" s="67"/>
      <c r="C208" s="70" t="s">
        <v>586</v>
      </c>
      <c r="D208" s="31" t="s">
        <v>701</v>
      </c>
      <c r="E208" s="30">
        <f>AC201+AC202</f>
        <v>600</v>
      </c>
      <c r="F208" s="30">
        <f>E208+E209</f>
        <v>604</v>
      </c>
      <c r="G208" s="30">
        <f t="shared" ref="G208:S208" si="63">F208+F209</f>
        <v>605</v>
      </c>
      <c r="H208" s="31">
        <f t="shared" si="63"/>
        <v>607</v>
      </c>
      <c r="I208" s="30">
        <f t="shared" si="63"/>
        <v>608</v>
      </c>
      <c r="J208" s="30">
        <f t="shared" si="63"/>
        <v>609</v>
      </c>
      <c r="K208" s="30">
        <f t="shared" si="63"/>
        <v>611</v>
      </c>
      <c r="L208" s="30">
        <f t="shared" si="63"/>
        <v>613</v>
      </c>
      <c r="M208" s="30">
        <f t="shared" si="63"/>
        <v>615</v>
      </c>
      <c r="N208" s="30">
        <f t="shared" si="63"/>
        <v>617</v>
      </c>
      <c r="O208" s="30">
        <f t="shared" si="63"/>
        <v>619</v>
      </c>
      <c r="P208" s="30">
        <f t="shared" si="63"/>
        <v>621</v>
      </c>
      <c r="Q208" s="30">
        <f t="shared" si="63"/>
        <v>623</v>
      </c>
      <c r="R208" s="30">
        <f t="shared" si="63"/>
        <v>624</v>
      </c>
      <c r="S208" s="30">
        <f t="shared" si="63"/>
        <v>625</v>
      </c>
      <c r="T208" s="30">
        <f>S208+S209</f>
        <v>626</v>
      </c>
      <c r="U208" s="30">
        <f t="shared" ref="U208:W208" si="64">T208+T209</f>
        <v>627</v>
      </c>
      <c r="V208" s="30">
        <f t="shared" si="64"/>
        <v>628</v>
      </c>
      <c r="W208" s="30">
        <f t="shared" si="64"/>
        <v>629</v>
      </c>
      <c r="X208" s="30">
        <f>W208+W209</f>
        <v>630</v>
      </c>
      <c r="Y208" s="30">
        <f t="shared" ref="Y208:AB208" si="65">X208+X209</f>
        <v>631</v>
      </c>
      <c r="Z208" s="30">
        <f t="shared" si="65"/>
        <v>632</v>
      </c>
      <c r="AA208" s="30">
        <f t="shared" si="65"/>
        <v>633</v>
      </c>
      <c r="AB208" s="30">
        <f t="shared" si="65"/>
        <v>634</v>
      </c>
      <c r="AC208" s="30">
        <f>AB208+AB209</f>
        <v>635</v>
      </c>
    </row>
    <row r="209" spans="2:29" ht="18" customHeight="1" x14ac:dyDescent="0.25">
      <c r="B209" s="68"/>
      <c r="C209" s="68"/>
      <c r="D209" s="31" t="s">
        <v>72</v>
      </c>
      <c r="E209" s="30">
        <v>4</v>
      </c>
      <c r="F209" s="30">
        <v>1</v>
      </c>
      <c r="G209" s="30">
        <v>2</v>
      </c>
      <c r="H209" s="31">
        <v>1</v>
      </c>
      <c r="I209" s="30">
        <v>1</v>
      </c>
      <c r="J209" s="30">
        <v>2</v>
      </c>
      <c r="K209" s="30">
        <v>2</v>
      </c>
      <c r="L209" s="30">
        <v>2</v>
      </c>
      <c r="M209" s="30">
        <v>2</v>
      </c>
      <c r="N209" s="30">
        <v>2</v>
      </c>
      <c r="O209" s="30">
        <v>2</v>
      </c>
      <c r="P209" s="30">
        <v>2</v>
      </c>
      <c r="Q209" s="30">
        <v>1</v>
      </c>
      <c r="R209" s="30">
        <v>1</v>
      </c>
      <c r="S209" s="30">
        <v>1</v>
      </c>
      <c r="T209" s="30">
        <v>1</v>
      </c>
      <c r="U209" s="30">
        <v>1</v>
      </c>
      <c r="V209" s="30">
        <v>1</v>
      </c>
      <c r="W209" s="30">
        <v>1</v>
      </c>
      <c r="X209" s="30">
        <v>1</v>
      </c>
      <c r="Y209" s="30">
        <v>1</v>
      </c>
      <c r="Z209" s="30">
        <v>1</v>
      </c>
      <c r="AA209" s="30">
        <v>1</v>
      </c>
      <c r="AB209" s="30">
        <v>1</v>
      </c>
      <c r="AC209" s="30">
        <v>1</v>
      </c>
    </row>
    <row r="210" spans="2:29" ht="18" customHeight="1" x14ac:dyDescent="0.25">
      <c r="B210" s="68"/>
      <c r="C210" s="68"/>
      <c r="D210" s="31" t="s">
        <v>488</v>
      </c>
      <c r="E210" s="30" t="s">
        <v>722</v>
      </c>
      <c r="F210" s="30">
        <v>0</v>
      </c>
      <c r="G210" s="30">
        <f>SUM(E209:AC209)</f>
        <v>36</v>
      </c>
      <c r="H210" s="31">
        <v>0</v>
      </c>
      <c r="I210" s="30" t="s">
        <v>702</v>
      </c>
      <c r="J210" s="30" t="s">
        <v>703</v>
      </c>
      <c r="K210" s="30" t="s">
        <v>447</v>
      </c>
      <c r="L210" s="30" t="s">
        <v>703</v>
      </c>
      <c r="M210" s="30" t="s">
        <v>447</v>
      </c>
      <c r="N210" s="30" t="s">
        <v>447</v>
      </c>
      <c r="O210" s="30" t="s">
        <v>447</v>
      </c>
      <c r="P210" s="30" t="s">
        <v>703</v>
      </c>
      <c r="Q210" s="30" t="s">
        <v>704</v>
      </c>
      <c r="R210" s="30" t="s">
        <v>704</v>
      </c>
      <c r="S210" s="30" t="s">
        <v>646</v>
      </c>
      <c r="T210" s="30" t="s">
        <v>704</v>
      </c>
      <c r="U210" s="30" t="s">
        <v>646</v>
      </c>
      <c r="V210" s="30" t="s">
        <v>704</v>
      </c>
      <c r="W210" s="30" t="s">
        <v>646</v>
      </c>
      <c r="X210" s="30" t="s">
        <v>704</v>
      </c>
      <c r="Y210" s="30" t="s">
        <v>704</v>
      </c>
      <c r="Z210" s="30" t="s">
        <v>646</v>
      </c>
      <c r="AA210" s="30" t="s">
        <v>646</v>
      </c>
      <c r="AB210" s="30" t="s">
        <v>646</v>
      </c>
      <c r="AC210" s="30" t="s">
        <v>646</v>
      </c>
    </row>
    <row r="211" spans="2:29" ht="60" x14ac:dyDescent="0.25">
      <c r="B211" s="69"/>
      <c r="C211" s="69"/>
      <c r="D211" s="31" t="s">
        <v>74</v>
      </c>
      <c r="E211" s="30"/>
      <c r="F211" s="15" t="s">
        <v>124</v>
      </c>
      <c r="G211" s="30"/>
      <c r="H211" s="5" t="s">
        <v>705</v>
      </c>
      <c r="I211" s="2"/>
      <c r="J211" s="2"/>
      <c r="K211" s="2"/>
      <c r="L211" s="71"/>
      <c r="M211" s="72"/>
      <c r="N211" s="71"/>
      <c r="O211" s="73"/>
      <c r="P211" s="72"/>
      <c r="Q211" s="71"/>
      <c r="R211" s="73"/>
      <c r="S211" s="73"/>
      <c r="T211" s="72"/>
      <c r="U211" s="71"/>
      <c r="V211" s="73"/>
      <c r="W211" s="73"/>
      <c r="X211" s="72"/>
      <c r="Y211" s="71"/>
      <c r="Z211" s="73"/>
      <c r="AA211" s="73"/>
      <c r="AB211" s="73"/>
      <c r="AC211" s="72"/>
    </row>
    <row r="212" spans="2:29" ht="18" customHeight="1" x14ac:dyDescent="0.25"/>
    <row r="213" spans="2:29" ht="18" customHeight="1" x14ac:dyDescent="0.25">
      <c r="B213" s="74" t="s">
        <v>649</v>
      </c>
      <c r="C213" s="74" t="s">
        <v>172</v>
      </c>
      <c r="D213" s="76" t="s">
        <v>714</v>
      </c>
      <c r="E213" s="74" t="s">
        <v>540</v>
      </c>
      <c r="F213" s="74" t="s">
        <v>541</v>
      </c>
      <c r="G213" s="74" t="s">
        <v>650</v>
      </c>
      <c r="H213" s="36" t="s">
        <v>542</v>
      </c>
      <c r="I213" s="36" t="s">
        <v>543</v>
      </c>
      <c r="J213" s="36" t="s">
        <v>544</v>
      </c>
      <c r="K213" s="36" t="s">
        <v>545</v>
      </c>
      <c r="L213" s="36" t="s">
        <v>651</v>
      </c>
      <c r="M213" s="36" t="s">
        <v>547</v>
      </c>
      <c r="N213" s="36" t="s">
        <v>254</v>
      </c>
      <c r="O213" s="36" t="s">
        <v>549</v>
      </c>
      <c r="P213" s="36" t="s">
        <v>58</v>
      </c>
      <c r="Q213" s="36" t="s">
        <v>652</v>
      </c>
      <c r="R213" s="36" t="s">
        <v>653</v>
      </c>
      <c r="S213" s="36" t="s">
        <v>49</v>
      </c>
      <c r="T213" s="36" t="s">
        <v>654</v>
      </c>
      <c r="U213" s="36" t="s">
        <v>554</v>
      </c>
      <c r="V213" s="36" t="s">
        <v>555</v>
      </c>
      <c r="W213" s="36" t="s">
        <v>655</v>
      </c>
      <c r="X213" s="36" t="s">
        <v>557</v>
      </c>
      <c r="Y213" s="36" t="s">
        <v>558</v>
      </c>
      <c r="Z213" s="36" t="s">
        <v>706</v>
      </c>
      <c r="AA213" s="36" t="s">
        <v>707</v>
      </c>
      <c r="AB213" s="36" t="s">
        <v>561</v>
      </c>
      <c r="AC213" s="36" t="s">
        <v>562</v>
      </c>
    </row>
    <row r="214" spans="2:29" ht="18" customHeight="1" x14ac:dyDescent="0.25">
      <c r="B214" s="75"/>
      <c r="C214" s="75"/>
      <c r="D214" s="76"/>
      <c r="E214" s="77"/>
      <c r="F214" s="77"/>
      <c r="G214" s="77"/>
      <c r="H214" s="31" t="s">
        <v>657</v>
      </c>
      <c r="I214" s="30" t="s">
        <v>441</v>
      </c>
      <c r="J214" s="30" t="s">
        <v>564</v>
      </c>
      <c r="K214" s="30" t="s">
        <v>565</v>
      </c>
      <c r="L214" s="30" t="s">
        <v>566</v>
      </c>
      <c r="M214" s="30" t="s">
        <v>567</v>
      </c>
      <c r="N214" s="30" t="s">
        <v>658</v>
      </c>
      <c r="O214" s="30" t="s">
        <v>568</v>
      </c>
      <c r="P214" s="30" t="s">
        <v>451</v>
      </c>
      <c r="Q214" s="30" t="s">
        <v>570</v>
      </c>
      <c r="R214" s="30" t="s">
        <v>571</v>
      </c>
      <c r="S214" s="30" t="s">
        <v>572</v>
      </c>
      <c r="T214" s="30" t="s">
        <v>573</v>
      </c>
      <c r="U214" s="30" t="s">
        <v>574</v>
      </c>
      <c r="V214" s="30" t="s">
        <v>576</v>
      </c>
      <c r="W214" s="30" t="s">
        <v>660</v>
      </c>
      <c r="X214" s="30" t="s">
        <v>579</v>
      </c>
      <c r="Y214" s="30" t="s">
        <v>580</v>
      </c>
      <c r="Z214" s="30" t="s">
        <v>581</v>
      </c>
      <c r="AA214" s="30" t="s">
        <v>582</v>
      </c>
      <c r="AB214" s="30" t="s">
        <v>584</v>
      </c>
      <c r="AC214" s="30" t="s">
        <v>585</v>
      </c>
    </row>
    <row r="215" spans="2:29" ht="18" customHeight="1" x14ac:dyDescent="0.25">
      <c r="B215" s="67"/>
      <c r="C215" s="70" t="s">
        <v>708</v>
      </c>
      <c r="D215" s="31" t="s">
        <v>588</v>
      </c>
      <c r="E215" s="30">
        <f>AC208+AC209</f>
        <v>636</v>
      </c>
      <c r="F215" s="30">
        <f>E215+E216</f>
        <v>640</v>
      </c>
      <c r="G215" s="30">
        <f>F215+F216</f>
        <v>641</v>
      </c>
      <c r="H215" s="31">
        <f t="shared" ref="H215:S215" si="66">G215+G216</f>
        <v>643</v>
      </c>
      <c r="I215" s="30">
        <f t="shared" si="66"/>
        <v>644</v>
      </c>
      <c r="J215" s="30">
        <f t="shared" si="66"/>
        <v>645</v>
      </c>
      <c r="K215" s="30">
        <f t="shared" si="66"/>
        <v>647</v>
      </c>
      <c r="L215" s="30">
        <f t="shared" si="66"/>
        <v>649</v>
      </c>
      <c r="M215" s="30">
        <f t="shared" si="66"/>
        <v>651</v>
      </c>
      <c r="N215" s="30">
        <f t="shared" si="66"/>
        <v>653</v>
      </c>
      <c r="O215" s="30">
        <f t="shared" si="66"/>
        <v>655</v>
      </c>
      <c r="P215" s="30">
        <f t="shared" si="66"/>
        <v>657</v>
      </c>
      <c r="Q215" s="30">
        <f t="shared" si="66"/>
        <v>659</v>
      </c>
      <c r="R215" s="30">
        <f t="shared" si="66"/>
        <v>660</v>
      </c>
      <c r="S215" s="30">
        <f t="shared" si="66"/>
        <v>661</v>
      </c>
      <c r="T215" s="30">
        <f>S215+S216</f>
        <v>662</v>
      </c>
      <c r="U215" s="30">
        <f t="shared" ref="U215:W215" si="67">T215+T216</f>
        <v>663</v>
      </c>
      <c r="V215" s="30">
        <f t="shared" si="67"/>
        <v>664</v>
      </c>
      <c r="W215" s="30">
        <f t="shared" si="67"/>
        <v>665</v>
      </c>
      <c r="X215" s="30">
        <f>W215+W216</f>
        <v>666</v>
      </c>
      <c r="Y215" s="30">
        <f t="shared" ref="Y215:AB215" si="68">X215+X216</f>
        <v>667</v>
      </c>
      <c r="Z215" s="30">
        <f t="shared" si="68"/>
        <v>668</v>
      </c>
      <c r="AA215" s="30">
        <f t="shared" si="68"/>
        <v>669</v>
      </c>
      <c r="AB215" s="30">
        <f t="shared" si="68"/>
        <v>670</v>
      </c>
      <c r="AC215" s="30">
        <f>AB215+AB216</f>
        <v>671</v>
      </c>
    </row>
    <row r="216" spans="2:29" ht="18" customHeight="1" x14ac:dyDescent="0.25">
      <c r="B216" s="68"/>
      <c r="C216" s="68"/>
      <c r="D216" s="31" t="s">
        <v>589</v>
      </c>
      <c r="E216" s="30">
        <v>4</v>
      </c>
      <c r="F216" s="30">
        <v>1</v>
      </c>
      <c r="G216" s="30">
        <v>2</v>
      </c>
      <c r="H216" s="31">
        <v>1</v>
      </c>
      <c r="I216" s="30">
        <v>1</v>
      </c>
      <c r="J216" s="30">
        <v>2</v>
      </c>
      <c r="K216" s="30">
        <v>2</v>
      </c>
      <c r="L216" s="30">
        <v>2</v>
      </c>
      <c r="M216" s="30">
        <v>2</v>
      </c>
      <c r="N216" s="30">
        <v>2</v>
      </c>
      <c r="O216" s="30">
        <v>2</v>
      </c>
      <c r="P216" s="30">
        <v>2</v>
      </c>
      <c r="Q216" s="30">
        <v>1</v>
      </c>
      <c r="R216" s="30">
        <v>1</v>
      </c>
      <c r="S216" s="30">
        <v>1</v>
      </c>
      <c r="T216" s="30">
        <v>1</v>
      </c>
      <c r="U216" s="30">
        <v>1</v>
      </c>
      <c r="V216" s="30">
        <v>1</v>
      </c>
      <c r="W216" s="30">
        <v>1</v>
      </c>
      <c r="X216" s="30">
        <v>1</v>
      </c>
      <c r="Y216" s="30">
        <v>1</v>
      </c>
      <c r="Z216" s="30">
        <v>1</v>
      </c>
      <c r="AA216" s="30">
        <v>1</v>
      </c>
      <c r="AB216" s="30">
        <v>1</v>
      </c>
      <c r="AC216" s="30">
        <v>1</v>
      </c>
    </row>
    <row r="217" spans="2:29" ht="18" customHeight="1" x14ac:dyDescent="0.25">
      <c r="B217" s="68"/>
      <c r="C217" s="68"/>
      <c r="D217" s="31" t="s">
        <v>590</v>
      </c>
      <c r="E217" s="30" t="s">
        <v>709</v>
      </c>
      <c r="F217" s="30">
        <v>0</v>
      </c>
      <c r="G217" s="30">
        <f>SUM(E216:AC216)</f>
        <v>36</v>
      </c>
      <c r="H217" s="31">
        <v>0</v>
      </c>
      <c r="I217" s="30" t="s">
        <v>591</v>
      </c>
      <c r="J217" s="30" t="s">
        <v>593</v>
      </c>
      <c r="K217" s="30" t="s">
        <v>593</v>
      </c>
      <c r="L217" s="30" t="s">
        <v>593</v>
      </c>
      <c r="M217" s="30" t="s">
        <v>593</v>
      </c>
      <c r="N217" s="30" t="s">
        <v>593</v>
      </c>
      <c r="O217" s="30" t="s">
        <v>447</v>
      </c>
      <c r="P217" s="30" t="s">
        <v>593</v>
      </c>
      <c r="Q217" s="30" t="s">
        <v>594</v>
      </c>
      <c r="R217" s="30" t="s">
        <v>646</v>
      </c>
      <c r="S217" s="30" t="s">
        <v>594</v>
      </c>
      <c r="T217" s="30" t="s">
        <v>594</v>
      </c>
      <c r="U217" s="30" t="s">
        <v>594</v>
      </c>
      <c r="V217" s="30" t="s">
        <v>594</v>
      </c>
      <c r="W217" s="30" t="s">
        <v>594</v>
      </c>
      <c r="X217" s="30" t="s">
        <v>594</v>
      </c>
      <c r="Y217" s="30" t="s">
        <v>594</v>
      </c>
      <c r="Z217" s="30" t="s">
        <v>594</v>
      </c>
      <c r="AA217" s="30" t="s">
        <v>594</v>
      </c>
      <c r="AB217" s="30" t="s">
        <v>594</v>
      </c>
      <c r="AC217" s="30" t="s">
        <v>594</v>
      </c>
    </row>
    <row r="218" spans="2:29" ht="60" x14ac:dyDescent="0.25">
      <c r="B218" s="69"/>
      <c r="C218" s="69"/>
      <c r="D218" s="31" t="s">
        <v>596</v>
      </c>
      <c r="E218" s="30"/>
      <c r="F218" s="15" t="s">
        <v>597</v>
      </c>
      <c r="G218" s="30"/>
      <c r="H218" s="5" t="s">
        <v>598</v>
      </c>
      <c r="I218" s="2"/>
      <c r="J218" s="2"/>
      <c r="K218" s="2"/>
      <c r="L218" s="71"/>
      <c r="M218" s="72"/>
      <c r="N218" s="71"/>
      <c r="O218" s="73"/>
      <c r="P218" s="72"/>
      <c r="Q218" s="71"/>
      <c r="R218" s="73"/>
      <c r="S218" s="73"/>
      <c r="T218" s="72"/>
      <c r="U218" s="71"/>
      <c r="V218" s="73"/>
      <c r="W218" s="73"/>
      <c r="X218" s="72"/>
      <c r="Y218" s="71"/>
      <c r="Z218" s="73"/>
      <c r="AA218" s="73"/>
      <c r="AB218" s="73"/>
      <c r="AC218" s="72"/>
    </row>
  </sheetData>
  <mergeCells count="284">
    <mergeCell ref="B152:B155"/>
    <mergeCell ref="C152:C155"/>
    <mergeCell ref="B145:B148"/>
    <mergeCell ref="C145:C148"/>
    <mergeCell ref="L148:M148"/>
    <mergeCell ref="N148:P148"/>
    <mergeCell ref="B150:B151"/>
    <mergeCell ref="C150:C151"/>
    <mergeCell ref="D150:D151"/>
    <mergeCell ref="E150:E151"/>
    <mergeCell ref="F150:F151"/>
    <mergeCell ref="G150:G151"/>
    <mergeCell ref="B136:B137"/>
    <mergeCell ref="C136:C137"/>
    <mergeCell ref="D136:D137"/>
    <mergeCell ref="E136:E137"/>
    <mergeCell ref="F136:F137"/>
    <mergeCell ref="G136:G137"/>
    <mergeCell ref="B138:B141"/>
    <mergeCell ref="C138:C141"/>
    <mergeCell ref="B143:B144"/>
    <mergeCell ref="C143:C144"/>
    <mergeCell ref="D143:D144"/>
    <mergeCell ref="E143:E144"/>
    <mergeCell ref="F143:F144"/>
    <mergeCell ref="G143:G144"/>
    <mergeCell ref="L92:M92"/>
    <mergeCell ref="N92:P92"/>
    <mergeCell ref="B94:B95"/>
    <mergeCell ref="C94:C95"/>
    <mergeCell ref="D94:D95"/>
    <mergeCell ref="E94:E95"/>
    <mergeCell ref="F94:F95"/>
    <mergeCell ref="G94:G95"/>
    <mergeCell ref="B96:B99"/>
    <mergeCell ref="C96:C99"/>
    <mergeCell ref="L99:M99"/>
    <mergeCell ref="N99:P99"/>
    <mergeCell ref="B89:B92"/>
    <mergeCell ref="C89:C92"/>
    <mergeCell ref="G122:G123"/>
    <mergeCell ref="B108:B109"/>
    <mergeCell ref="C108:C109"/>
    <mergeCell ref="D108:D109"/>
    <mergeCell ref="E108:E109"/>
    <mergeCell ref="F108:F109"/>
    <mergeCell ref="G108:G109"/>
    <mergeCell ref="B110:B113"/>
    <mergeCell ref="C110:C113"/>
    <mergeCell ref="B122:B123"/>
    <mergeCell ref="C122:C123"/>
    <mergeCell ref="D122:D123"/>
    <mergeCell ref="E122:E123"/>
    <mergeCell ref="F122:F123"/>
    <mergeCell ref="B115:B116"/>
    <mergeCell ref="C115:C116"/>
    <mergeCell ref="D115:D116"/>
    <mergeCell ref="E115:E116"/>
    <mergeCell ref="F115:F116"/>
    <mergeCell ref="G115:G116"/>
    <mergeCell ref="L113:M113"/>
    <mergeCell ref="N113:P113"/>
    <mergeCell ref="B101:B102"/>
    <mergeCell ref="C101:C102"/>
    <mergeCell ref="D101:D102"/>
    <mergeCell ref="E101:E102"/>
    <mergeCell ref="F101:F102"/>
    <mergeCell ref="G101:G102"/>
    <mergeCell ref="B103:B106"/>
    <mergeCell ref="C103:C106"/>
    <mergeCell ref="L106:M106"/>
    <mergeCell ref="N106:P106"/>
    <mergeCell ref="A1:R1"/>
    <mergeCell ref="C54:C57"/>
    <mergeCell ref="C59:C60"/>
    <mergeCell ref="C61:C64"/>
    <mergeCell ref="C3:C4"/>
    <mergeCell ref="C5:C8"/>
    <mergeCell ref="C10:C11"/>
    <mergeCell ref="C12:C15"/>
    <mergeCell ref="C17:C18"/>
    <mergeCell ref="C19:C22"/>
    <mergeCell ref="C24:C25"/>
    <mergeCell ref="C26:C29"/>
    <mergeCell ref="C31:C32"/>
    <mergeCell ref="D38:D39"/>
    <mergeCell ref="E38:E39"/>
    <mergeCell ref="F38:F39"/>
    <mergeCell ref="G17:G18"/>
    <mergeCell ref="D24:D25"/>
    <mergeCell ref="E24:E25"/>
    <mergeCell ref="F24:F25"/>
    <mergeCell ref="G24:G25"/>
    <mergeCell ref="D3:D4"/>
    <mergeCell ref="B33:B36"/>
    <mergeCell ref="B38:B39"/>
    <mergeCell ref="B178:B179"/>
    <mergeCell ref="C178:C179"/>
    <mergeCell ref="D178:D179"/>
    <mergeCell ref="E178:E179"/>
    <mergeCell ref="F178:F179"/>
    <mergeCell ref="G178:G179"/>
    <mergeCell ref="B180:B183"/>
    <mergeCell ref="C180:C183"/>
    <mergeCell ref="B157:B158"/>
    <mergeCell ref="B159:B162"/>
    <mergeCell ref="B164:B165"/>
    <mergeCell ref="B166:B169"/>
    <mergeCell ref="B171:B172"/>
    <mergeCell ref="B173:B176"/>
    <mergeCell ref="C157:C158"/>
    <mergeCell ref="C159:C162"/>
    <mergeCell ref="C164:C165"/>
    <mergeCell ref="C166:C169"/>
    <mergeCell ref="C171:C172"/>
    <mergeCell ref="C173:C176"/>
    <mergeCell ref="E171:E172"/>
    <mergeCell ref="F171:F172"/>
    <mergeCell ref="G171:G172"/>
    <mergeCell ref="D157:D158"/>
    <mergeCell ref="B40:B43"/>
    <mergeCell ref="B45:B46"/>
    <mergeCell ref="B47:B50"/>
    <mergeCell ref="B52:B53"/>
    <mergeCell ref="B54:B57"/>
    <mergeCell ref="B59:B60"/>
    <mergeCell ref="B80:B81"/>
    <mergeCell ref="B66:B67"/>
    <mergeCell ref="B68:B71"/>
    <mergeCell ref="B3:B4"/>
    <mergeCell ref="B5:B8"/>
    <mergeCell ref="B10:B11"/>
    <mergeCell ref="B12:B15"/>
    <mergeCell ref="B17:B18"/>
    <mergeCell ref="B19:B22"/>
    <mergeCell ref="B24:B25"/>
    <mergeCell ref="B26:B29"/>
    <mergeCell ref="B31:B32"/>
    <mergeCell ref="B129:B130"/>
    <mergeCell ref="C66:C67"/>
    <mergeCell ref="B117:B120"/>
    <mergeCell ref="C117:C120"/>
    <mergeCell ref="B124:B127"/>
    <mergeCell ref="C124:C127"/>
    <mergeCell ref="B131:B134"/>
    <mergeCell ref="B61:B64"/>
    <mergeCell ref="B73:B74"/>
    <mergeCell ref="B75:B78"/>
    <mergeCell ref="C68:C71"/>
    <mergeCell ref="B82:B85"/>
    <mergeCell ref="C82:C85"/>
    <mergeCell ref="B87:B88"/>
    <mergeCell ref="C87:C88"/>
    <mergeCell ref="C73:C74"/>
    <mergeCell ref="C75:C78"/>
    <mergeCell ref="C131:C134"/>
    <mergeCell ref="C129:C130"/>
    <mergeCell ref="C33:C36"/>
    <mergeCell ref="C38:C39"/>
    <mergeCell ref="C40:C43"/>
    <mergeCell ref="C45:C46"/>
    <mergeCell ref="C47:C50"/>
    <mergeCell ref="C52:C53"/>
    <mergeCell ref="G66:G67"/>
    <mergeCell ref="D80:D81"/>
    <mergeCell ref="E80:E81"/>
    <mergeCell ref="F80:F81"/>
    <mergeCell ref="G80:G81"/>
    <mergeCell ref="C80:C81"/>
    <mergeCell ref="G38:G39"/>
    <mergeCell ref="D45:D46"/>
    <mergeCell ref="E45:E46"/>
    <mergeCell ref="F45:F46"/>
    <mergeCell ref="G45:G46"/>
    <mergeCell ref="F87:F88"/>
    <mergeCell ref="G87:G88"/>
    <mergeCell ref="F52:F53"/>
    <mergeCell ref="G52:G53"/>
    <mergeCell ref="D66:D67"/>
    <mergeCell ref="E66:E67"/>
    <mergeCell ref="F66:F67"/>
    <mergeCell ref="D59:D60"/>
    <mergeCell ref="E59:E60"/>
    <mergeCell ref="F59:F60"/>
    <mergeCell ref="G59:G60"/>
    <mergeCell ref="D52:D53"/>
    <mergeCell ref="E52:E53"/>
    <mergeCell ref="E3:E4"/>
    <mergeCell ref="F3:F4"/>
    <mergeCell ref="G3:G4"/>
    <mergeCell ref="D10:D11"/>
    <mergeCell ref="E10:E11"/>
    <mergeCell ref="F10:F11"/>
    <mergeCell ref="G10:G11"/>
    <mergeCell ref="D31:D32"/>
    <mergeCell ref="E31:E32"/>
    <mergeCell ref="F31:F32"/>
    <mergeCell ref="G31:G32"/>
    <mergeCell ref="D17:D18"/>
    <mergeCell ref="E17:E18"/>
    <mergeCell ref="F17:F18"/>
    <mergeCell ref="B185:B186"/>
    <mergeCell ref="C185:C186"/>
    <mergeCell ref="D185:D186"/>
    <mergeCell ref="E185:E186"/>
    <mergeCell ref="F185:F186"/>
    <mergeCell ref="G185:G186"/>
    <mergeCell ref="D73:D74"/>
    <mergeCell ref="E73:E74"/>
    <mergeCell ref="F73:F74"/>
    <mergeCell ref="G73:G74"/>
    <mergeCell ref="E157:E158"/>
    <mergeCell ref="F157:F158"/>
    <mergeCell ref="G157:G158"/>
    <mergeCell ref="D164:D165"/>
    <mergeCell ref="E164:E165"/>
    <mergeCell ref="F164:F165"/>
    <mergeCell ref="G164:G165"/>
    <mergeCell ref="D171:D172"/>
    <mergeCell ref="D129:D130"/>
    <mergeCell ref="E129:E130"/>
    <mergeCell ref="F129:F130"/>
    <mergeCell ref="G129:G130"/>
    <mergeCell ref="D87:D88"/>
    <mergeCell ref="E87:E88"/>
    <mergeCell ref="B187:B190"/>
    <mergeCell ref="C187:C190"/>
    <mergeCell ref="L190:M190"/>
    <mergeCell ref="N190:P190"/>
    <mergeCell ref="Q190:T190"/>
    <mergeCell ref="U190:X190"/>
    <mergeCell ref="Y190:AC190"/>
    <mergeCell ref="B192:B193"/>
    <mergeCell ref="C192:C193"/>
    <mergeCell ref="D192:D193"/>
    <mergeCell ref="E192:E193"/>
    <mergeCell ref="F192:F193"/>
    <mergeCell ref="G192:G193"/>
    <mergeCell ref="B194:B197"/>
    <mergeCell ref="C194:C197"/>
    <mergeCell ref="L197:M197"/>
    <mergeCell ref="N197:P197"/>
    <mergeCell ref="Q197:T197"/>
    <mergeCell ref="U197:X197"/>
    <mergeCell ref="Y197:AC197"/>
    <mergeCell ref="B199:B200"/>
    <mergeCell ref="C199:C200"/>
    <mergeCell ref="D199:D200"/>
    <mergeCell ref="E199:E200"/>
    <mergeCell ref="F199:F200"/>
    <mergeCell ref="G199:G200"/>
    <mergeCell ref="B201:B204"/>
    <mergeCell ref="C201:C204"/>
    <mergeCell ref="L204:M204"/>
    <mergeCell ref="N204:P204"/>
    <mergeCell ref="Q204:T204"/>
    <mergeCell ref="U204:X204"/>
    <mergeCell ref="Y204:AC204"/>
    <mergeCell ref="B206:B207"/>
    <mergeCell ref="C206:C207"/>
    <mergeCell ref="D206:D207"/>
    <mergeCell ref="E206:E207"/>
    <mergeCell ref="F206:F207"/>
    <mergeCell ref="G206:G207"/>
    <mergeCell ref="B215:B218"/>
    <mergeCell ref="C215:C218"/>
    <mergeCell ref="L218:M218"/>
    <mergeCell ref="N218:P218"/>
    <mergeCell ref="Q218:T218"/>
    <mergeCell ref="U218:X218"/>
    <mergeCell ref="Y218:AC218"/>
    <mergeCell ref="B208:B211"/>
    <mergeCell ref="C208:C211"/>
    <mergeCell ref="L211:M211"/>
    <mergeCell ref="N211:P211"/>
    <mergeCell ref="Q211:T211"/>
    <mergeCell ref="U211:X211"/>
    <mergeCell ref="Y211:AC211"/>
    <mergeCell ref="B213:B214"/>
    <mergeCell ref="C213:C214"/>
    <mergeCell ref="D213:D214"/>
    <mergeCell ref="E213:E214"/>
    <mergeCell ref="F213:F214"/>
    <mergeCell ref="G213:G214"/>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topLeftCell="A58" zoomScaleNormal="100" workbookViewId="0">
      <selection activeCell="M70" sqref="M70"/>
    </sheetView>
  </sheetViews>
  <sheetFormatPr defaultRowHeight="15.75" x14ac:dyDescent="0.25"/>
  <cols>
    <col min="2" max="2" width="16.5703125" bestFit="1" customWidth="1"/>
    <col min="3" max="3" width="40.7109375" bestFit="1" customWidth="1"/>
    <col min="4" max="4" width="12.5703125" bestFit="1" customWidth="1"/>
    <col min="5" max="5" width="15" bestFit="1" customWidth="1"/>
    <col min="6" max="6" width="12.7109375" bestFit="1" customWidth="1"/>
    <col min="7" max="7" width="16.7109375" bestFit="1" customWidth="1"/>
    <col min="8" max="10" width="12.5703125" bestFit="1" customWidth="1"/>
    <col min="11" max="11" width="7.5703125" bestFit="1" customWidth="1"/>
    <col min="12" max="12" width="13.7109375" bestFit="1" customWidth="1"/>
    <col min="13" max="13" width="7.85546875" bestFit="1" customWidth="1"/>
    <col min="14" max="14" width="7.7109375" bestFit="1" customWidth="1"/>
    <col min="15" max="15" width="7.5703125" bestFit="1" customWidth="1"/>
    <col min="16" max="16" width="7.85546875" bestFit="1" customWidth="1"/>
    <col min="17" max="18" width="7.42578125" bestFit="1" customWidth="1"/>
  </cols>
  <sheetData>
    <row r="1" spans="1:18" ht="18.75" x14ac:dyDescent="0.4">
      <c r="A1" s="96" t="s">
        <v>363</v>
      </c>
      <c r="B1" s="81"/>
      <c r="C1" s="81"/>
      <c r="D1" s="81"/>
      <c r="E1" s="81"/>
      <c r="F1" s="81"/>
      <c r="G1" s="81"/>
      <c r="H1" s="81"/>
      <c r="I1" s="81"/>
      <c r="J1" s="81"/>
      <c r="K1" s="81"/>
      <c r="L1" s="81"/>
      <c r="M1" s="81"/>
      <c r="N1" s="81"/>
      <c r="O1" s="81"/>
      <c r="P1" s="81"/>
      <c r="Q1" s="81"/>
      <c r="R1" s="82"/>
    </row>
    <row r="2" spans="1:18" ht="15.75" customHeight="1" x14ac:dyDescent="0.25">
      <c r="A2" s="20" t="s">
        <v>177</v>
      </c>
      <c r="B2" s="20" t="s">
        <v>42</v>
      </c>
      <c r="C2" s="20" t="s">
        <v>178</v>
      </c>
      <c r="D2" s="20" t="s">
        <v>32</v>
      </c>
      <c r="E2" s="20" t="s">
        <v>179</v>
      </c>
      <c r="F2" s="20" t="s">
        <v>180</v>
      </c>
      <c r="G2" s="20" t="s">
        <v>181</v>
      </c>
      <c r="H2" s="20" t="s">
        <v>35</v>
      </c>
      <c r="I2" s="20" t="s">
        <v>182</v>
      </c>
      <c r="J2" s="20" t="s">
        <v>183</v>
      </c>
      <c r="K2" s="20" t="s">
        <v>184</v>
      </c>
      <c r="L2" s="20" t="s">
        <v>185</v>
      </c>
      <c r="M2" s="20" t="s">
        <v>37</v>
      </c>
      <c r="N2" s="20" t="s">
        <v>186</v>
      </c>
      <c r="O2" s="20" t="s">
        <v>187</v>
      </c>
      <c r="P2" s="20" t="s">
        <v>40</v>
      </c>
      <c r="Q2" s="20" t="s">
        <v>41</v>
      </c>
      <c r="R2" s="20" t="s">
        <v>188</v>
      </c>
    </row>
    <row r="3" spans="1:18" ht="15.75" customHeight="1" x14ac:dyDescent="0.25">
      <c r="A3" s="99" t="s">
        <v>189</v>
      </c>
      <c r="B3" s="21" t="s">
        <v>45</v>
      </c>
      <c r="C3" s="22" t="s">
        <v>190</v>
      </c>
      <c r="D3" s="22" t="s">
        <v>24</v>
      </c>
      <c r="E3" s="22" t="s">
        <v>191</v>
      </c>
      <c r="F3" s="22" t="s">
        <v>192</v>
      </c>
      <c r="G3" s="22" t="s">
        <v>193</v>
      </c>
      <c r="H3" s="22" t="s">
        <v>194</v>
      </c>
      <c r="I3" s="22" t="s">
        <v>195</v>
      </c>
      <c r="J3" s="22" t="s">
        <v>196</v>
      </c>
      <c r="K3" s="21"/>
      <c r="L3" s="21"/>
      <c r="M3" s="21"/>
      <c r="N3" s="21"/>
      <c r="O3" s="21"/>
      <c r="P3" s="21"/>
      <c r="Q3" s="21"/>
      <c r="R3" s="21"/>
    </row>
    <row r="4" spans="1:18" ht="15.75" customHeight="1" x14ac:dyDescent="0.25">
      <c r="A4" s="79"/>
      <c r="B4" s="21"/>
      <c r="C4" s="4" t="s">
        <v>197</v>
      </c>
      <c r="D4" s="18" t="s">
        <v>44</v>
      </c>
      <c r="E4" s="25"/>
      <c r="F4" s="25"/>
      <c r="G4" s="25"/>
      <c r="H4" s="25"/>
      <c r="I4" s="25"/>
      <c r="J4" s="19"/>
      <c r="K4" s="21"/>
      <c r="L4" s="21"/>
      <c r="M4" s="21"/>
      <c r="N4" s="21"/>
      <c r="O4" s="21"/>
      <c r="P4" s="21"/>
      <c r="Q4" s="21"/>
      <c r="R4" s="21"/>
    </row>
    <row r="5" spans="1:18" ht="15.75" customHeight="1" x14ac:dyDescent="0.25">
      <c r="A5" s="75"/>
      <c r="B5" s="21" t="s">
        <v>198</v>
      </c>
      <c r="C5" s="4"/>
      <c r="D5" s="17" t="s">
        <v>199</v>
      </c>
      <c r="E5" s="17" t="s">
        <v>200</v>
      </c>
      <c r="F5" s="17">
        <v>5</v>
      </c>
      <c r="G5" s="17">
        <v>8</v>
      </c>
      <c r="H5" s="17">
        <v>4</v>
      </c>
      <c r="I5" s="17"/>
      <c r="J5" s="17"/>
      <c r="K5" s="21"/>
      <c r="L5" s="21"/>
      <c r="M5" s="21"/>
      <c r="N5" s="21"/>
      <c r="O5" s="21"/>
      <c r="P5" s="21"/>
      <c r="Q5" s="21"/>
      <c r="R5" s="21"/>
    </row>
    <row r="6" spans="1:18" ht="15.75" customHeight="1" x14ac:dyDescent="0.25">
      <c r="A6" s="99" t="s">
        <v>43</v>
      </c>
      <c r="B6" s="21" t="s">
        <v>201</v>
      </c>
      <c r="C6" s="22" t="s">
        <v>202</v>
      </c>
      <c r="D6" s="22" t="s">
        <v>24</v>
      </c>
      <c r="E6" s="22" t="s">
        <v>13</v>
      </c>
      <c r="F6" s="22" t="s">
        <v>203</v>
      </c>
      <c r="G6" s="22" t="s">
        <v>204</v>
      </c>
      <c r="H6" s="22" t="s">
        <v>26</v>
      </c>
      <c r="I6" s="22" t="s">
        <v>195</v>
      </c>
      <c r="J6" s="21"/>
      <c r="K6" s="21"/>
      <c r="L6" s="21"/>
      <c r="M6" s="21"/>
      <c r="N6" s="21"/>
      <c r="O6" s="21"/>
      <c r="P6" s="21"/>
      <c r="Q6" s="21"/>
      <c r="R6" s="21"/>
    </row>
    <row r="7" spans="1:18" ht="15.75" customHeight="1" x14ac:dyDescent="0.25">
      <c r="A7" s="79"/>
      <c r="B7" s="21"/>
      <c r="C7" s="4" t="s">
        <v>205</v>
      </c>
      <c r="D7" s="18" t="s">
        <v>46</v>
      </c>
      <c r="E7" s="25"/>
      <c r="F7" s="25"/>
      <c r="G7" s="25"/>
      <c r="H7" s="25"/>
      <c r="I7" s="19"/>
      <c r="J7" s="21"/>
      <c r="K7" s="21"/>
      <c r="L7" s="21"/>
      <c r="M7" s="21"/>
      <c r="N7" s="21"/>
      <c r="O7" s="21"/>
      <c r="P7" s="21"/>
      <c r="Q7" s="21"/>
      <c r="R7" s="21"/>
    </row>
    <row r="8" spans="1:18" ht="15.75" customHeight="1" x14ac:dyDescent="0.25">
      <c r="A8" s="75"/>
      <c r="B8" s="21" t="s">
        <v>206</v>
      </c>
      <c r="C8" s="4"/>
      <c r="D8" s="17"/>
      <c r="E8" s="17"/>
      <c r="F8" s="17"/>
      <c r="G8" s="17"/>
      <c r="H8" s="17"/>
      <c r="I8" s="17"/>
      <c r="J8" s="21"/>
      <c r="K8" s="21"/>
      <c r="L8" s="21"/>
      <c r="M8" s="21"/>
      <c r="N8" s="21"/>
      <c r="O8" s="21"/>
      <c r="P8" s="21"/>
      <c r="Q8" s="21"/>
      <c r="R8" s="21"/>
    </row>
    <row r="9" spans="1:18" ht="15.75" customHeight="1" x14ac:dyDescent="0.25">
      <c r="A9" s="99" t="s">
        <v>207</v>
      </c>
      <c r="B9" s="21" t="s">
        <v>208</v>
      </c>
      <c r="C9" s="22" t="s">
        <v>209</v>
      </c>
      <c r="D9" s="98" t="s">
        <v>210</v>
      </c>
      <c r="E9" s="97"/>
      <c r="F9" s="22" t="s">
        <v>211</v>
      </c>
      <c r="G9" s="98" t="s">
        <v>11</v>
      </c>
      <c r="H9" s="97"/>
      <c r="I9" s="22" t="s">
        <v>14</v>
      </c>
      <c r="J9" s="21"/>
      <c r="K9" s="21"/>
      <c r="L9" s="21"/>
      <c r="M9" s="21"/>
      <c r="N9" s="21"/>
      <c r="O9" s="21"/>
      <c r="P9" s="21"/>
      <c r="Q9" s="21"/>
      <c r="R9" s="21"/>
    </row>
    <row r="10" spans="1:18" ht="15.75" customHeight="1" x14ac:dyDescent="0.25">
      <c r="A10" s="79"/>
      <c r="B10" s="21"/>
      <c r="C10" s="4" t="s">
        <v>212</v>
      </c>
      <c r="D10" s="88" t="s">
        <v>2</v>
      </c>
      <c r="E10" s="97"/>
      <c r="F10" s="17" t="s">
        <v>1</v>
      </c>
      <c r="G10" s="88" t="s">
        <v>213</v>
      </c>
      <c r="H10" s="97"/>
      <c r="I10" s="17" t="s">
        <v>214</v>
      </c>
      <c r="J10" s="21"/>
      <c r="K10" s="21"/>
      <c r="L10" s="21"/>
      <c r="M10" s="21"/>
      <c r="N10" s="21"/>
      <c r="O10" s="21"/>
      <c r="P10" s="21"/>
      <c r="Q10" s="21"/>
      <c r="R10" s="21"/>
    </row>
    <row r="11" spans="1:18" ht="15.75" customHeight="1" x14ac:dyDescent="0.25">
      <c r="A11" s="75"/>
      <c r="B11" s="21" t="s">
        <v>111</v>
      </c>
      <c r="C11" s="4"/>
      <c r="D11" s="88"/>
      <c r="E11" s="97"/>
      <c r="F11" s="15" t="s">
        <v>215</v>
      </c>
      <c r="G11" s="88"/>
      <c r="H11" s="97"/>
      <c r="I11" s="17" t="s">
        <v>216</v>
      </c>
      <c r="J11" s="21"/>
      <c r="K11" s="21"/>
      <c r="L11" s="21"/>
      <c r="M11" s="21"/>
      <c r="N11" s="21"/>
      <c r="O11" s="21"/>
      <c r="P11" s="21"/>
      <c r="Q11" s="21"/>
      <c r="R11" s="21"/>
    </row>
    <row r="12" spans="1:18" x14ac:dyDescent="0.25">
      <c r="A12" s="99" t="s">
        <v>217</v>
      </c>
      <c r="B12" s="23" t="s">
        <v>218</v>
      </c>
      <c r="C12" s="22" t="s">
        <v>202</v>
      </c>
      <c r="D12" s="98" t="s">
        <v>219</v>
      </c>
      <c r="E12" s="97"/>
      <c r="F12" s="22" t="s">
        <v>220</v>
      </c>
      <c r="G12" s="98" t="s">
        <v>221</v>
      </c>
      <c r="H12" s="97"/>
      <c r="I12" s="22" t="s">
        <v>222</v>
      </c>
      <c r="J12" s="21"/>
      <c r="K12" s="21"/>
      <c r="L12" s="21"/>
      <c r="M12" s="21"/>
      <c r="N12" s="21"/>
      <c r="O12" s="21"/>
      <c r="P12" s="21"/>
      <c r="Q12" s="21"/>
      <c r="R12" s="21"/>
    </row>
    <row r="13" spans="1:18" x14ac:dyDescent="0.25">
      <c r="A13" s="79"/>
      <c r="B13" s="23"/>
      <c r="C13" s="4" t="s">
        <v>0</v>
      </c>
      <c r="D13" s="88" t="s">
        <v>223</v>
      </c>
      <c r="E13" s="97"/>
      <c r="F13" s="17" t="s">
        <v>224</v>
      </c>
      <c r="G13" s="88" t="s">
        <v>3</v>
      </c>
      <c r="H13" s="97"/>
      <c r="I13" s="17" t="s">
        <v>214</v>
      </c>
      <c r="J13" s="21"/>
      <c r="K13" s="21"/>
      <c r="L13" s="21"/>
      <c r="M13" s="21"/>
      <c r="N13" s="21"/>
      <c r="O13" s="21"/>
      <c r="P13" s="21"/>
      <c r="Q13" s="21"/>
      <c r="R13" s="21"/>
    </row>
    <row r="14" spans="1:18" x14ac:dyDescent="0.25">
      <c r="A14" s="75"/>
      <c r="B14" s="21" t="s">
        <v>225</v>
      </c>
      <c r="C14" s="4"/>
      <c r="D14" s="88"/>
      <c r="E14" s="97"/>
      <c r="F14" s="17" t="s">
        <v>36</v>
      </c>
      <c r="G14" s="88"/>
      <c r="H14" s="97"/>
      <c r="I14" s="17" t="s">
        <v>226</v>
      </c>
      <c r="J14" s="21"/>
      <c r="K14" s="21"/>
      <c r="L14" s="21"/>
      <c r="M14" s="21"/>
      <c r="N14" s="21"/>
      <c r="O14" s="21"/>
      <c r="P14" s="21"/>
      <c r="Q14" s="21"/>
      <c r="R14" s="21"/>
    </row>
    <row r="15" spans="1:18" x14ac:dyDescent="0.25">
      <c r="A15" s="99" t="s">
        <v>337</v>
      </c>
      <c r="B15" s="23" t="s">
        <v>119</v>
      </c>
      <c r="C15" s="22" t="s">
        <v>9</v>
      </c>
      <c r="D15" s="98" t="s">
        <v>227</v>
      </c>
      <c r="E15" s="97"/>
      <c r="F15" s="22" t="s">
        <v>220</v>
      </c>
      <c r="G15" s="98" t="s">
        <v>228</v>
      </c>
      <c r="H15" s="97"/>
      <c r="I15" s="22" t="s">
        <v>229</v>
      </c>
      <c r="J15" s="21"/>
      <c r="K15" s="21"/>
      <c r="L15" s="21"/>
      <c r="M15" s="21"/>
      <c r="N15" s="21"/>
      <c r="O15" s="21"/>
      <c r="P15" s="21"/>
      <c r="Q15" s="21"/>
      <c r="R15" s="21"/>
    </row>
    <row r="16" spans="1:18" x14ac:dyDescent="0.25">
      <c r="A16" s="79"/>
      <c r="B16" s="23"/>
      <c r="C16" s="4" t="s">
        <v>197</v>
      </c>
      <c r="D16" s="88" t="s">
        <v>2</v>
      </c>
      <c r="E16" s="97"/>
      <c r="F16" s="17" t="s">
        <v>230</v>
      </c>
      <c r="G16" s="88" t="s">
        <v>231</v>
      </c>
      <c r="H16" s="97"/>
      <c r="I16" s="17" t="s">
        <v>232</v>
      </c>
      <c r="J16" s="21"/>
      <c r="K16" s="21"/>
      <c r="L16" s="21"/>
      <c r="M16" s="21"/>
      <c r="N16" s="21"/>
      <c r="O16" s="21"/>
      <c r="P16" s="21"/>
      <c r="Q16" s="21"/>
      <c r="R16" s="21"/>
    </row>
    <row r="17" spans="1:18" x14ac:dyDescent="0.25">
      <c r="A17" s="75"/>
      <c r="B17" s="21" t="s">
        <v>233</v>
      </c>
      <c r="C17" s="4">
        <v>0</v>
      </c>
      <c r="D17" s="88"/>
      <c r="E17" s="97"/>
      <c r="F17" s="17" t="s">
        <v>234</v>
      </c>
      <c r="G17" s="88"/>
      <c r="H17" s="97"/>
      <c r="I17" s="17" t="s">
        <v>235</v>
      </c>
      <c r="J17" s="21"/>
      <c r="K17" s="21"/>
      <c r="L17" s="21"/>
      <c r="M17" s="21"/>
      <c r="N17" s="21"/>
      <c r="O17" s="21"/>
      <c r="P17" s="21"/>
      <c r="Q17" s="21"/>
      <c r="R17" s="21"/>
    </row>
    <row r="18" spans="1:18" x14ac:dyDescent="0.25">
      <c r="A18" s="99" t="s">
        <v>114</v>
      </c>
      <c r="B18" s="23" t="s">
        <v>120</v>
      </c>
      <c r="C18" s="22" t="s">
        <v>202</v>
      </c>
      <c r="D18" s="98" t="s">
        <v>236</v>
      </c>
      <c r="E18" s="97"/>
      <c r="F18" s="22" t="s">
        <v>13</v>
      </c>
      <c r="G18" s="98" t="s">
        <v>237</v>
      </c>
      <c r="H18" s="97"/>
      <c r="I18" s="22" t="s">
        <v>238</v>
      </c>
      <c r="J18" s="21"/>
      <c r="K18" s="21"/>
      <c r="L18" s="21"/>
      <c r="M18" s="21"/>
      <c r="N18" s="21"/>
      <c r="O18" s="21"/>
      <c r="P18" s="21"/>
      <c r="Q18" s="21"/>
      <c r="R18" s="21"/>
    </row>
    <row r="19" spans="1:18" x14ac:dyDescent="0.25">
      <c r="A19" s="79"/>
      <c r="B19" s="23"/>
      <c r="C19" s="4" t="s">
        <v>212</v>
      </c>
      <c r="D19" s="88" t="s">
        <v>239</v>
      </c>
      <c r="E19" s="97"/>
      <c r="F19" s="17" t="s">
        <v>1</v>
      </c>
      <c r="G19" s="88" t="s">
        <v>3</v>
      </c>
      <c r="H19" s="97"/>
      <c r="I19" s="17" t="s">
        <v>4</v>
      </c>
      <c r="J19" s="21"/>
      <c r="K19" s="21"/>
      <c r="L19" s="21"/>
      <c r="M19" s="21"/>
      <c r="N19" s="21"/>
      <c r="O19" s="21"/>
      <c r="P19" s="21"/>
      <c r="Q19" s="21"/>
      <c r="R19" s="21"/>
    </row>
    <row r="20" spans="1:18" x14ac:dyDescent="0.25">
      <c r="A20" s="75"/>
      <c r="B20" s="21" t="s">
        <v>112</v>
      </c>
      <c r="C20" s="4"/>
      <c r="D20" s="88"/>
      <c r="E20" s="97"/>
      <c r="F20" s="17" t="s">
        <v>234</v>
      </c>
      <c r="G20" s="88"/>
      <c r="H20" s="97"/>
      <c r="I20" s="17" t="s">
        <v>39</v>
      </c>
      <c r="J20" s="21"/>
      <c r="K20" s="21"/>
      <c r="L20" s="21"/>
      <c r="M20" s="21"/>
      <c r="N20" s="21"/>
      <c r="O20" s="21"/>
      <c r="P20" s="21"/>
      <c r="Q20" s="21"/>
      <c r="R20" s="21"/>
    </row>
    <row r="21" spans="1:18" x14ac:dyDescent="0.25">
      <c r="A21" s="99" t="s">
        <v>240</v>
      </c>
      <c r="B21" s="26" t="s">
        <v>241</v>
      </c>
      <c r="C21" s="22" t="s">
        <v>202</v>
      </c>
      <c r="D21" s="98" t="s">
        <v>242</v>
      </c>
      <c r="E21" s="97"/>
      <c r="F21" s="22" t="s">
        <v>243</v>
      </c>
      <c r="G21" s="98" t="s">
        <v>11</v>
      </c>
      <c r="H21" s="97"/>
      <c r="I21" s="22" t="s">
        <v>244</v>
      </c>
      <c r="J21" s="21"/>
      <c r="K21" s="21"/>
      <c r="L21" s="21"/>
      <c r="M21" s="21"/>
      <c r="N21" s="21"/>
      <c r="O21" s="21"/>
      <c r="P21" s="21"/>
      <c r="Q21" s="21"/>
      <c r="R21" s="21"/>
    </row>
    <row r="22" spans="1:18" x14ac:dyDescent="0.25">
      <c r="A22" s="79"/>
      <c r="B22" s="26"/>
      <c r="C22" s="4" t="s">
        <v>245</v>
      </c>
      <c r="D22" s="88" t="s">
        <v>2</v>
      </c>
      <c r="E22" s="97"/>
      <c r="F22" s="17" t="s">
        <v>246</v>
      </c>
      <c r="G22" s="88" t="s">
        <v>247</v>
      </c>
      <c r="H22" s="97"/>
      <c r="I22" s="17" t="s">
        <v>4</v>
      </c>
      <c r="J22" s="21"/>
      <c r="K22" s="21"/>
      <c r="L22" s="21"/>
      <c r="M22" s="21"/>
      <c r="N22" s="21"/>
      <c r="O22" s="21"/>
      <c r="P22" s="21"/>
      <c r="Q22" s="21"/>
      <c r="R22" s="21"/>
    </row>
    <row r="23" spans="1:18" x14ac:dyDescent="0.25">
      <c r="A23" s="75"/>
      <c r="B23" s="21" t="s">
        <v>111</v>
      </c>
      <c r="C23" s="4"/>
      <c r="D23" s="88"/>
      <c r="E23" s="97"/>
      <c r="F23" s="17" t="s">
        <v>248</v>
      </c>
      <c r="G23" s="88"/>
      <c r="H23" s="97"/>
      <c r="I23" s="17" t="s">
        <v>249</v>
      </c>
      <c r="J23" s="21"/>
      <c r="K23" s="21"/>
      <c r="L23" s="21"/>
      <c r="M23" s="21"/>
      <c r="N23" s="21"/>
      <c r="O23" s="21"/>
      <c r="P23" s="21"/>
      <c r="Q23" s="21"/>
      <c r="R23" s="21"/>
    </row>
    <row r="24" spans="1:18" x14ac:dyDescent="0.25">
      <c r="A24" s="99" t="s">
        <v>250</v>
      </c>
      <c r="B24" s="26" t="s">
        <v>83</v>
      </c>
      <c r="C24" s="22" t="s">
        <v>202</v>
      </c>
      <c r="D24" s="98" t="s">
        <v>251</v>
      </c>
      <c r="E24" s="97"/>
      <c r="F24" s="98" t="s">
        <v>252</v>
      </c>
      <c r="G24" s="97"/>
      <c r="H24" s="98" t="s">
        <v>11</v>
      </c>
      <c r="I24" s="97"/>
      <c r="J24" s="98" t="s">
        <v>18</v>
      </c>
      <c r="K24" s="97"/>
      <c r="L24" s="98" t="s">
        <v>253</v>
      </c>
      <c r="M24" s="97"/>
      <c r="N24" s="98" t="s">
        <v>254</v>
      </c>
      <c r="O24" s="97"/>
      <c r="P24" s="21"/>
      <c r="Q24" s="21"/>
      <c r="R24" s="21"/>
    </row>
    <row r="25" spans="1:18" x14ac:dyDescent="0.25">
      <c r="A25" s="79"/>
      <c r="B25" s="26"/>
      <c r="C25" s="4" t="s">
        <v>197</v>
      </c>
      <c r="D25" s="88" t="s">
        <v>239</v>
      </c>
      <c r="E25" s="97"/>
      <c r="F25" s="88" t="s">
        <v>255</v>
      </c>
      <c r="G25" s="97"/>
      <c r="H25" s="88" t="s">
        <v>3</v>
      </c>
      <c r="I25" s="97"/>
      <c r="J25" s="88" t="s">
        <v>20</v>
      </c>
      <c r="K25" s="97"/>
      <c r="L25" s="88" t="s">
        <v>256</v>
      </c>
      <c r="M25" s="97"/>
      <c r="N25" s="88" t="s">
        <v>23</v>
      </c>
      <c r="O25" s="97"/>
      <c r="P25" s="21"/>
      <c r="Q25" s="21"/>
      <c r="R25" s="21"/>
    </row>
    <row r="26" spans="1:18" x14ac:dyDescent="0.25">
      <c r="A26" s="75"/>
      <c r="B26" s="21" t="s">
        <v>295</v>
      </c>
      <c r="C26" s="4"/>
      <c r="D26" s="88">
        <v>1800</v>
      </c>
      <c r="E26" s="97"/>
      <c r="F26" s="88"/>
      <c r="G26" s="97"/>
      <c r="H26" s="88">
        <v>2500</v>
      </c>
      <c r="I26" s="97"/>
      <c r="J26" s="88"/>
      <c r="K26" s="97"/>
      <c r="L26" s="88">
        <v>3600</v>
      </c>
      <c r="M26" s="97"/>
      <c r="N26" s="88"/>
      <c r="O26" s="97"/>
      <c r="P26" s="21"/>
      <c r="Q26" s="21"/>
      <c r="R26" s="21"/>
    </row>
    <row r="27" spans="1:18" x14ac:dyDescent="0.25">
      <c r="A27" s="99" t="s">
        <v>115</v>
      </c>
      <c r="B27" s="23" t="s">
        <v>257</v>
      </c>
      <c r="C27" s="22" t="s">
        <v>258</v>
      </c>
      <c r="D27" s="98" t="s">
        <v>259</v>
      </c>
      <c r="E27" s="97"/>
      <c r="F27" s="98" t="s">
        <v>252</v>
      </c>
      <c r="G27" s="97"/>
      <c r="H27" s="98" t="s">
        <v>11</v>
      </c>
      <c r="I27" s="97"/>
      <c r="J27" s="98" t="s">
        <v>18</v>
      </c>
      <c r="K27" s="97"/>
      <c r="L27" s="98" t="s">
        <v>260</v>
      </c>
      <c r="M27" s="97"/>
      <c r="N27" s="98" t="s">
        <v>12</v>
      </c>
      <c r="O27" s="97"/>
      <c r="P27" s="21"/>
      <c r="Q27" s="21"/>
      <c r="R27" s="21"/>
    </row>
    <row r="28" spans="1:18" x14ac:dyDescent="0.25">
      <c r="A28" s="79"/>
      <c r="B28" s="23"/>
      <c r="C28" s="4" t="s">
        <v>0</v>
      </c>
      <c r="D28" s="88" t="s">
        <v>239</v>
      </c>
      <c r="E28" s="97"/>
      <c r="F28" s="88" t="s">
        <v>19</v>
      </c>
      <c r="G28" s="97"/>
      <c r="H28" s="88" t="s">
        <v>213</v>
      </c>
      <c r="I28" s="97"/>
      <c r="J28" s="88" t="s">
        <v>261</v>
      </c>
      <c r="K28" s="97"/>
      <c r="L28" s="88" t="s">
        <v>22</v>
      </c>
      <c r="M28" s="97"/>
      <c r="N28" s="88" t="s">
        <v>262</v>
      </c>
      <c r="O28" s="97"/>
      <c r="P28" s="21"/>
      <c r="Q28" s="21"/>
      <c r="R28" s="21"/>
    </row>
    <row r="29" spans="1:18" x14ac:dyDescent="0.25">
      <c r="A29" s="75"/>
      <c r="B29" s="21" t="s">
        <v>294</v>
      </c>
      <c r="C29" s="4"/>
      <c r="D29" s="88">
        <v>0</v>
      </c>
      <c r="E29" s="97"/>
      <c r="F29" s="88"/>
      <c r="G29" s="97"/>
      <c r="H29" s="88" t="s">
        <v>121</v>
      </c>
      <c r="I29" s="97"/>
      <c r="J29" s="88"/>
      <c r="K29" s="97"/>
      <c r="L29" s="88" t="s">
        <v>263</v>
      </c>
      <c r="M29" s="97"/>
      <c r="N29" s="88"/>
      <c r="O29" s="97"/>
      <c r="P29" s="21"/>
      <c r="Q29" s="21"/>
      <c r="R29" s="21"/>
    </row>
    <row r="30" spans="1:18" x14ac:dyDescent="0.25">
      <c r="A30" s="99" t="s">
        <v>264</v>
      </c>
      <c r="B30" s="21" t="s">
        <v>28</v>
      </c>
      <c r="C30" s="22" t="s">
        <v>265</v>
      </c>
      <c r="D30" s="98" t="s">
        <v>266</v>
      </c>
      <c r="E30" s="97"/>
      <c r="F30" s="21"/>
      <c r="G30" s="21"/>
      <c r="H30" s="21"/>
      <c r="I30" s="21"/>
      <c r="J30" s="21"/>
      <c r="K30" s="21"/>
      <c r="L30" s="21"/>
      <c r="M30" s="21"/>
      <c r="N30" s="21"/>
      <c r="O30" s="21"/>
      <c r="P30" s="21"/>
      <c r="Q30" s="21"/>
      <c r="R30" s="21"/>
    </row>
    <row r="31" spans="1:18" x14ac:dyDescent="0.25">
      <c r="A31" s="79"/>
      <c r="B31" s="21"/>
      <c r="C31" s="4" t="s">
        <v>197</v>
      </c>
      <c r="D31" s="88" t="s">
        <v>29</v>
      </c>
      <c r="E31" s="97"/>
      <c r="F31" s="21"/>
      <c r="G31" s="21"/>
      <c r="H31" s="21"/>
      <c r="I31" s="21"/>
      <c r="J31" s="21"/>
      <c r="K31" s="21"/>
      <c r="L31" s="21"/>
      <c r="M31" s="21"/>
      <c r="N31" s="21"/>
      <c r="O31" s="21"/>
      <c r="P31" s="21"/>
      <c r="Q31" s="21"/>
      <c r="R31" s="21"/>
    </row>
    <row r="32" spans="1:18" x14ac:dyDescent="0.25">
      <c r="A32" s="75"/>
      <c r="B32" s="21" t="s">
        <v>267</v>
      </c>
      <c r="C32" s="4"/>
      <c r="D32" s="88"/>
      <c r="E32" s="97"/>
      <c r="F32" s="21"/>
      <c r="G32" s="21"/>
      <c r="H32" s="21"/>
      <c r="I32" s="21"/>
      <c r="J32" s="21"/>
      <c r="K32" s="21"/>
      <c r="L32" s="21"/>
      <c r="M32" s="21"/>
      <c r="N32" s="21"/>
      <c r="O32" s="21"/>
      <c r="P32" s="21"/>
      <c r="Q32" s="21"/>
      <c r="R32" s="21"/>
    </row>
    <row r="33" spans="1:18" x14ac:dyDescent="0.25">
      <c r="A33" s="99" t="s">
        <v>338</v>
      </c>
      <c r="B33" s="21" t="s">
        <v>268</v>
      </c>
      <c r="C33" s="22" t="s">
        <v>9</v>
      </c>
      <c r="D33" s="98" t="s">
        <v>10</v>
      </c>
      <c r="E33" s="97"/>
      <c r="F33" s="21"/>
      <c r="G33" s="21"/>
      <c r="H33" s="21"/>
      <c r="I33" s="21"/>
      <c r="J33" s="21"/>
      <c r="K33" s="21"/>
      <c r="L33" s="21"/>
      <c r="M33" s="21"/>
      <c r="N33" s="21"/>
      <c r="O33" s="21"/>
      <c r="P33" s="21"/>
      <c r="Q33" s="21"/>
      <c r="R33" s="21"/>
    </row>
    <row r="34" spans="1:18" x14ac:dyDescent="0.25">
      <c r="A34" s="79"/>
      <c r="B34" s="21"/>
      <c r="C34" s="4" t="s">
        <v>0</v>
      </c>
      <c r="D34" s="88" t="s">
        <v>269</v>
      </c>
      <c r="E34" s="97"/>
      <c r="F34" s="21"/>
      <c r="G34" s="21"/>
      <c r="H34" s="21"/>
      <c r="I34" s="21"/>
      <c r="J34" s="21"/>
      <c r="K34" s="21"/>
      <c r="L34" s="21"/>
      <c r="M34" s="21"/>
      <c r="N34" s="21"/>
      <c r="O34" s="21"/>
      <c r="P34" s="21"/>
      <c r="Q34" s="21"/>
      <c r="R34" s="21"/>
    </row>
    <row r="35" spans="1:18" x14ac:dyDescent="0.25">
      <c r="A35" s="75"/>
      <c r="B35" s="21" t="s">
        <v>270</v>
      </c>
      <c r="C35" s="4"/>
      <c r="D35" s="88"/>
      <c r="E35" s="97"/>
      <c r="F35" s="21"/>
      <c r="G35" s="21"/>
      <c r="H35" s="21"/>
      <c r="I35" s="21"/>
      <c r="J35" s="21"/>
      <c r="K35" s="21"/>
      <c r="L35" s="21"/>
      <c r="M35" s="21"/>
      <c r="N35" s="21"/>
      <c r="O35" s="21"/>
      <c r="P35" s="21"/>
      <c r="Q35" s="21"/>
      <c r="R35" s="21"/>
    </row>
    <row r="36" spans="1:18" x14ac:dyDescent="0.25">
      <c r="A36" s="99" t="s">
        <v>339</v>
      </c>
      <c r="B36" s="23" t="s">
        <v>271</v>
      </c>
      <c r="C36" s="22" t="s">
        <v>9</v>
      </c>
      <c r="D36" s="98" t="s">
        <v>10</v>
      </c>
      <c r="E36" s="97"/>
      <c r="F36" s="21"/>
      <c r="G36" s="21"/>
      <c r="H36" s="21"/>
      <c r="I36" s="21"/>
      <c r="J36" s="21"/>
      <c r="K36" s="21"/>
      <c r="L36" s="21"/>
      <c r="M36" s="21"/>
      <c r="N36" s="21"/>
      <c r="O36" s="21"/>
      <c r="P36" s="21"/>
      <c r="Q36" s="21"/>
      <c r="R36" s="21"/>
    </row>
    <row r="37" spans="1:18" x14ac:dyDescent="0.25">
      <c r="A37" s="79"/>
      <c r="B37" s="23"/>
      <c r="C37" s="4" t="s">
        <v>212</v>
      </c>
      <c r="D37" s="88" t="s">
        <v>269</v>
      </c>
      <c r="E37" s="97"/>
      <c r="F37" s="21"/>
      <c r="G37" s="21"/>
      <c r="H37" s="21"/>
      <c r="I37" s="21"/>
      <c r="J37" s="21"/>
      <c r="K37" s="21"/>
      <c r="L37" s="21"/>
      <c r="M37" s="21"/>
      <c r="N37" s="21"/>
      <c r="O37" s="21"/>
      <c r="P37" s="21"/>
      <c r="Q37" s="21"/>
      <c r="R37" s="21"/>
    </row>
    <row r="38" spans="1:18" x14ac:dyDescent="0.25">
      <c r="A38" s="75"/>
      <c r="B38" s="21" t="s">
        <v>267</v>
      </c>
      <c r="C38" s="4"/>
      <c r="D38" s="88"/>
      <c r="E38" s="97"/>
      <c r="F38" s="21"/>
      <c r="G38" s="21"/>
      <c r="H38" s="21"/>
      <c r="I38" s="21"/>
      <c r="J38" s="21"/>
      <c r="K38" s="21"/>
      <c r="L38" s="21"/>
      <c r="M38" s="21"/>
      <c r="N38" s="21"/>
      <c r="O38" s="21"/>
      <c r="P38" s="21"/>
      <c r="Q38" s="21"/>
      <c r="R38" s="21"/>
    </row>
    <row r="39" spans="1:18" x14ac:dyDescent="0.25">
      <c r="A39" s="99" t="s">
        <v>272</v>
      </c>
      <c r="B39" s="23" t="s">
        <v>116</v>
      </c>
      <c r="C39" s="22" t="s">
        <v>9</v>
      </c>
      <c r="D39" s="98" t="s">
        <v>10</v>
      </c>
      <c r="E39" s="97"/>
      <c r="F39" s="22" t="s">
        <v>13</v>
      </c>
      <c r="G39" s="98" t="s">
        <v>11</v>
      </c>
      <c r="H39" s="97"/>
      <c r="I39" s="22" t="s">
        <v>14</v>
      </c>
      <c r="J39" s="21"/>
      <c r="K39" s="21"/>
      <c r="L39" s="21"/>
      <c r="M39" s="21"/>
      <c r="N39" s="21"/>
      <c r="O39" s="21"/>
      <c r="P39" s="21"/>
      <c r="Q39" s="21"/>
      <c r="R39" s="21"/>
    </row>
    <row r="40" spans="1:18" x14ac:dyDescent="0.25">
      <c r="A40" s="79"/>
      <c r="B40" s="23"/>
      <c r="C40" s="4" t="s">
        <v>0</v>
      </c>
      <c r="D40" s="88" t="s">
        <v>273</v>
      </c>
      <c r="E40" s="97"/>
      <c r="F40" s="17" t="s">
        <v>246</v>
      </c>
      <c r="G40" s="88" t="s">
        <v>274</v>
      </c>
      <c r="H40" s="97"/>
      <c r="I40" s="17" t="s">
        <v>214</v>
      </c>
      <c r="J40" s="21"/>
      <c r="K40" s="21"/>
      <c r="L40" s="21"/>
      <c r="M40" s="21"/>
      <c r="N40" s="21"/>
      <c r="O40" s="21"/>
      <c r="P40" s="21"/>
      <c r="Q40" s="21"/>
      <c r="R40" s="21"/>
    </row>
    <row r="41" spans="1:18" x14ac:dyDescent="0.25">
      <c r="A41" s="75"/>
      <c r="B41" s="21" t="s">
        <v>111</v>
      </c>
      <c r="C41" s="4"/>
      <c r="D41" s="88"/>
      <c r="E41" s="97"/>
      <c r="F41" s="17"/>
      <c r="G41" s="88"/>
      <c r="H41" s="97"/>
      <c r="I41" s="17"/>
      <c r="J41" s="21"/>
      <c r="K41" s="21"/>
      <c r="L41" s="21"/>
      <c r="M41" s="21"/>
      <c r="N41" s="21"/>
      <c r="O41" s="21"/>
      <c r="P41" s="21"/>
      <c r="Q41" s="21"/>
      <c r="R41" s="21"/>
    </row>
    <row r="42" spans="1:18" x14ac:dyDescent="0.25">
      <c r="A42" s="99" t="s">
        <v>340</v>
      </c>
      <c r="B42" s="21" t="s">
        <v>113</v>
      </c>
      <c r="C42" s="22" t="s">
        <v>275</v>
      </c>
      <c r="D42" s="98" t="s">
        <v>227</v>
      </c>
      <c r="E42" s="97"/>
      <c r="F42" s="22" t="s">
        <v>13</v>
      </c>
      <c r="G42" s="98" t="s">
        <v>11</v>
      </c>
      <c r="H42" s="97"/>
      <c r="I42" s="22" t="s">
        <v>14</v>
      </c>
      <c r="J42" s="21"/>
      <c r="K42" s="21"/>
      <c r="L42" s="21"/>
      <c r="M42" s="21"/>
      <c r="N42" s="21"/>
      <c r="O42" s="21"/>
      <c r="P42" s="21"/>
      <c r="Q42" s="21"/>
      <c r="R42" s="21"/>
    </row>
    <row r="43" spans="1:18" x14ac:dyDescent="0.25">
      <c r="A43" s="79"/>
      <c r="B43" s="21"/>
      <c r="C43" s="4" t="s">
        <v>212</v>
      </c>
      <c r="D43" s="88" t="s">
        <v>276</v>
      </c>
      <c r="E43" s="97"/>
      <c r="F43" s="17" t="s">
        <v>1</v>
      </c>
      <c r="G43" s="88" t="s">
        <v>3</v>
      </c>
      <c r="H43" s="97"/>
      <c r="I43" s="17" t="s">
        <v>4</v>
      </c>
      <c r="J43" s="21"/>
      <c r="K43" s="21"/>
      <c r="L43" s="21"/>
      <c r="M43" s="21"/>
      <c r="N43" s="21"/>
      <c r="O43" s="21"/>
      <c r="P43" s="21"/>
      <c r="Q43" s="21"/>
      <c r="R43" s="21"/>
    </row>
    <row r="44" spans="1:18" x14ac:dyDescent="0.25">
      <c r="A44" s="75"/>
      <c r="B44" s="21" t="s">
        <v>277</v>
      </c>
      <c r="C44" s="4"/>
      <c r="D44" s="88"/>
      <c r="E44" s="97"/>
      <c r="F44" s="17"/>
      <c r="G44" s="88"/>
      <c r="H44" s="97"/>
      <c r="I44" s="17"/>
      <c r="J44" s="21"/>
      <c r="K44" s="21"/>
      <c r="L44" s="21"/>
      <c r="M44" s="21"/>
      <c r="N44" s="21"/>
      <c r="O44" s="21"/>
      <c r="P44" s="21"/>
      <c r="Q44" s="21"/>
      <c r="R44" s="21"/>
    </row>
    <row r="45" spans="1:18" x14ac:dyDescent="0.25">
      <c r="A45" s="99" t="s">
        <v>278</v>
      </c>
      <c r="B45" s="21" t="s">
        <v>279</v>
      </c>
      <c r="C45" s="22" t="s">
        <v>9</v>
      </c>
      <c r="D45" s="24" t="s">
        <v>280</v>
      </c>
      <c r="E45" s="24" t="s">
        <v>13</v>
      </c>
      <c r="F45" s="24" t="s">
        <v>25</v>
      </c>
      <c r="G45" s="21"/>
      <c r="H45" s="21"/>
      <c r="I45" s="21"/>
      <c r="J45" s="21"/>
      <c r="K45" s="21"/>
      <c r="L45" s="21"/>
      <c r="M45" s="21"/>
      <c r="N45" s="21"/>
      <c r="O45" s="21"/>
      <c r="P45" s="21"/>
      <c r="Q45" s="21"/>
      <c r="R45" s="21"/>
    </row>
    <row r="46" spans="1:18" x14ac:dyDescent="0.25">
      <c r="A46" s="79"/>
      <c r="B46" s="21"/>
      <c r="C46" s="4" t="s">
        <v>205</v>
      </c>
      <c r="D46" s="18" t="s">
        <v>281</v>
      </c>
      <c r="E46" s="18" t="s">
        <v>122</v>
      </c>
      <c r="F46" s="18" t="s">
        <v>123</v>
      </c>
      <c r="G46" s="21"/>
      <c r="H46" s="21"/>
      <c r="I46" s="21"/>
      <c r="J46" s="21"/>
      <c r="K46" s="21"/>
      <c r="L46" s="21"/>
      <c r="M46" s="21"/>
      <c r="N46" s="21"/>
      <c r="O46" s="21"/>
      <c r="P46" s="21"/>
      <c r="Q46" s="21"/>
      <c r="R46" s="21"/>
    </row>
    <row r="47" spans="1:18" ht="16.5" thickBot="1" x14ac:dyDescent="0.3">
      <c r="A47" s="75"/>
      <c r="B47" s="21" t="s">
        <v>282</v>
      </c>
      <c r="C47" s="4"/>
      <c r="D47" s="18"/>
      <c r="E47" s="18"/>
      <c r="F47" s="18"/>
      <c r="G47" s="21"/>
      <c r="H47" s="21"/>
      <c r="I47" s="21"/>
      <c r="J47" s="21"/>
      <c r="K47" s="21"/>
      <c r="L47" s="21"/>
      <c r="M47" s="21"/>
      <c r="N47" s="21"/>
      <c r="O47" s="21"/>
      <c r="P47" s="21"/>
      <c r="Q47" s="21"/>
      <c r="R47" s="21"/>
    </row>
    <row r="48" spans="1:18" s="35" customFormat="1" ht="16.5" thickBot="1" x14ac:dyDescent="0.3">
      <c r="A48" s="99" t="s">
        <v>729</v>
      </c>
      <c r="B48" s="21" t="s">
        <v>279</v>
      </c>
      <c r="C48" s="43" t="s">
        <v>387</v>
      </c>
      <c r="D48" s="43" t="s">
        <v>730</v>
      </c>
      <c r="E48" s="43" t="s">
        <v>731</v>
      </c>
      <c r="F48" s="43" t="s">
        <v>732</v>
      </c>
      <c r="G48" s="43" t="s">
        <v>391</v>
      </c>
      <c r="H48" s="21"/>
      <c r="I48" s="21"/>
      <c r="J48" s="21"/>
      <c r="K48" s="21"/>
      <c r="L48" s="21"/>
      <c r="M48" s="21"/>
      <c r="N48" s="21"/>
      <c r="O48" s="21"/>
      <c r="P48" s="21"/>
      <c r="Q48" s="21"/>
      <c r="R48" s="21"/>
    </row>
    <row r="49" spans="1:18" s="35" customFormat="1" ht="16.5" thickBot="1" x14ac:dyDescent="0.3">
      <c r="A49" s="79"/>
      <c r="B49" s="21"/>
      <c r="C49" s="44" t="s">
        <v>733</v>
      </c>
      <c r="D49" s="45" t="s">
        <v>734</v>
      </c>
      <c r="E49" s="45" t="s">
        <v>735</v>
      </c>
      <c r="F49" s="45" t="s">
        <v>736</v>
      </c>
      <c r="G49" s="45" t="s">
        <v>737</v>
      </c>
      <c r="H49" s="21"/>
      <c r="I49" s="21"/>
      <c r="J49" s="21"/>
      <c r="K49" s="21"/>
      <c r="L49" s="21"/>
      <c r="M49" s="21"/>
      <c r="N49" s="21"/>
      <c r="O49" s="21"/>
      <c r="P49" s="21"/>
      <c r="Q49" s="21"/>
      <c r="R49" s="21"/>
    </row>
    <row r="50" spans="1:18" s="35" customFormat="1" x14ac:dyDescent="0.25">
      <c r="A50" s="75"/>
      <c r="B50" s="21" t="s">
        <v>111</v>
      </c>
      <c r="C50" s="31"/>
      <c r="D50" s="42"/>
      <c r="E50" s="42"/>
      <c r="F50" s="42"/>
      <c r="G50" s="42"/>
      <c r="H50" s="21"/>
      <c r="I50" s="21"/>
      <c r="J50" s="21"/>
      <c r="K50" s="21"/>
      <c r="L50" s="21"/>
      <c r="M50" s="21"/>
      <c r="N50" s="21"/>
      <c r="O50" s="21"/>
      <c r="P50" s="21"/>
      <c r="Q50" s="21"/>
      <c r="R50" s="21"/>
    </row>
    <row r="53" spans="1:18" ht="18.75" x14ac:dyDescent="0.4">
      <c r="A53" s="96" t="s">
        <v>320</v>
      </c>
      <c r="B53" s="81"/>
      <c r="C53" s="81"/>
      <c r="D53" s="81"/>
      <c r="E53" s="81"/>
      <c r="F53" s="81"/>
      <c r="G53" s="81"/>
      <c r="H53" s="81"/>
      <c r="I53" s="81"/>
      <c r="J53" s="81"/>
      <c r="K53" s="81"/>
      <c r="L53" s="81"/>
      <c r="M53" s="81"/>
      <c r="N53" s="81"/>
      <c r="O53" s="81"/>
      <c r="P53" s="81"/>
      <c r="Q53" s="81"/>
      <c r="R53" s="82"/>
    </row>
    <row r="54" spans="1:18" ht="18.75" x14ac:dyDescent="0.25">
      <c r="A54" s="20" t="s">
        <v>283</v>
      </c>
      <c r="B54" s="20" t="s">
        <v>42</v>
      </c>
      <c r="C54" s="20" t="s">
        <v>31</v>
      </c>
      <c r="D54" s="20" t="s">
        <v>32</v>
      </c>
      <c r="E54" s="20" t="s">
        <v>284</v>
      </c>
      <c r="F54" s="20" t="s">
        <v>33</v>
      </c>
      <c r="G54" s="20" t="s">
        <v>34</v>
      </c>
      <c r="H54" s="20" t="s">
        <v>285</v>
      </c>
      <c r="I54" s="20" t="s">
        <v>182</v>
      </c>
      <c r="J54" s="20" t="s">
        <v>286</v>
      </c>
      <c r="K54" s="20" t="s">
        <v>287</v>
      </c>
      <c r="L54" s="20" t="s">
        <v>36</v>
      </c>
      <c r="M54" s="20" t="s">
        <v>288</v>
      </c>
      <c r="N54" s="20" t="s">
        <v>38</v>
      </c>
      <c r="O54" s="20" t="s">
        <v>289</v>
      </c>
      <c r="P54" s="20" t="s">
        <v>290</v>
      </c>
      <c r="Q54" s="20" t="s">
        <v>41</v>
      </c>
      <c r="R54" s="20" t="s">
        <v>291</v>
      </c>
    </row>
    <row r="55" spans="1:18" ht="18.75" x14ac:dyDescent="0.25">
      <c r="A55" s="20" t="s">
        <v>189</v>
      </c>
      <c r="B55" s="21" t="s">
        <v>292</v>
      </c>
      <c r="C55" s="22" t="s">
        <v>9</v>
      </c>
      <c r="D55" s="22" t="s">
        <v>318</v>
      </c>
      <c r="E55" s="22" t="s">
        <v>319</v>
      </c>
      <c r="F55" s="21"/>
      <c r="G55" s="21"/>
      <c r="H55" s="21"/>
      <c r="I55" s="21"/>
      <c r="J55" s="21"/>
      <c r="K55" s="21"/>
      <c r="L55" s="21"/>
      <c r="M55" s="21"/>
      <c r="N55" s="21"/>
      <c r="O55" s="21"/>
      <c r="P55" s="21"/>
      <c r="Q55" s="21"/>
      <c r="R55" s="21"/>
    </row>
    <row r="56" spans="1:18" ht="105" x14ac:dyDescent="0.25">
      <c r="A56" s="20"/>
      <c r="B56" s="21"/>
      <c r="C56" s="5" t="s">
        <v>315</v>
      </c>
      <c r="D56" s="32" t="s">
        <v>316</v>
      </c>
      <c r="E56" s="32" t="s">
        <v>317</v>
      </c>
      <c r="F56" s="21"/>
      <c r="G56" s="21"/>
      <c r="H56" s="21"/>
      <c r="I56" s="21"/>
      <c r="J56" s="21"/>
      <c r="K56" s="21"/>
      <c r="L56" s="21"/>
      <c r="M56" s="21"/>
      <c r="N56" s="21"/>
      <c r="O56" s="21"/>
      <c r="P56" s="21"/>
      <c r="Q56" s="21"/>
      <c r="R56" s="21"/>
    </row>
    <row r="57" spans="1:18" ht="18.75" x14ac:dyDescent="0.25">
      <c r="A57" s="20"/>
      <c r="B57" s="21" t="s">
        <v>293</v>
      </c>
      <c r="C57" s="4"/>
      <c r="D57" s="32"/>
      <c r="E57" s="32"/>
      <c r="F57" s="21"/>
      <c r="G57" s="21"/>
      <c r="H57" s="21"/>
      <c r="I57" s="21"/>
      <c r="J57" s="21"/>
      <c r="K57" s="21"/>
      <c r="L57" s="21"/>
      <c r="M57" s="21"/>
      <c r="N57" s="21"/>
      <c r="O57" s="21"/>
      <c r="P57" s="21"/>
      <c r="Q57" s="21"/>
      <c r="R57" s="21"/>
    </row>
    <row r="61" spans="1:18" ht="18.75" x14ac:dyDescent="0.4">
      <c r="A61" s="96" t="s">
        <v>404</v>
      </c>
      <c r="B61" s="81"/>
      <c r="C61" s="81"/>
      <c r="D61" s="81"/>
      <c r="E61" s="81"/>
      <c r="F61" s="81"/>
      <c r="G61" s="81"/>
      <c r="H61" s="81"/>
      <c r="I61" s="81"/>
      <c r="J61" s="81"/>
      <c r="K61" s="81"/>
      <c r="L61" s="81"/>
      <c r="M61" s="81"/>
      <c r="N61" s="81"/>
      <c r="O61" s="81"/>
      <c r="P61" s="81"/>
      <c r="Q61" s="81"/>
      <c r="R61" s="82"/>
    </row>
    <row r="62" spans="1:18" ht="18.75" x14ac:dyDescent="0.25">
      <c r="A62" s="37" t="s">
        <v>369</v>
      </c>
      <c r="B62" s="37" t="s">
        <v>370</v>
      </c>
      <c r="C62" s="53" t="s">
        <v>371</v>
      </c>
      <c r="D62" s="53" t="s">
        <v>372</v>
      </c>
      <c r="E62" s="53" t="s">
        <v>373</v>
      </c>
      <c r="F62" s="53" t="s">
        <v>374</v>
      </c>
      <c r="G62" s="53" t="s">
        <v>375</v>
      </c>
      <c r="H62" s="53" t="s">
        <v>376</v>
      </c>
      <c r="I62" s="53" t="s">
        <v>377</v>
      </c>
      <c r="J62" s="53" t="s">
        <v>378</v>
      </c>
      <c r="K62" s="53" t="s">
        <v>379</v>
      </c>
      <c r="L62" s="53" t="s">
        <v>380</v>
      </c>
      <c r="M62" s="53" t="s">
        <v>381</v>
      </c>
      <c r="N62" s="53" t="s">
        <v>382</v>
      </c>
      <c r="O62" s="53" t="s">
        <v>383</v>
      </c>
      <c r="P62" s="53" t="s">
        <v>384</v>
      </c>
      <c r="Q62" s="53" t="s">
        <v>385</v>
      </c>
      <c r="R62" s="53" t="s">
        <v>386</v>
      </c>
    </row>
    <row r="63" spans="1:18" ht="15.75" customHeight="1" x14ac:dyDescent="0.25">
      <c r="A63" s="84" t="s">
        <v>371</v>
      </c>
      <c r="B63" s="91" t="s">
        <v>405</v>
      </c>
      <c r="C63" s="36" t="s">
        <v>387</v>
      </c>
      <c r="D63" s="36" t="s">
        <v>388</v>
      </c>
      <c r="E63" s="36" t="s">
        <v>389</v>
      </c>
      <c r="F63" s="36" t="s">
        <v>390</v>
      </c>
      <c r="G63" s="36" t="s">
        <v>391</v>
      </c>
      <c r="H63" s="36" t="s">
        <v>392</v>
      </c>
      <c r="I63" s="36" t="s">
        <v>393</v>
      </c>
      <c r="J63" s="36" t="s">
        <v>394</v>
      </c>
      <c r="K63" s="36" t="s">
        <v>395</v>
      </c>
      <c r="L63" s="36" t="s">
        <v>396</v>
      </c>
      <c r="M63" s="36" t="s">
        <v>397</v>
      </c>
      <c r="N63" s="36" t="s">
        <v>398</v>
      </c>
      <c r="O63" s="36" t="s">
        <v>399</v>
      </c>
      <c r="P63" s="36" t="s">
        <v>400</v>
      </c>
      <c r="Q63" s="36" t="s">
        <v>401</v>
      </c>
      <c r="R63" s="36" t="s">
        <v>402</v>
      </c>
    </row>
    <row r="64" spans="1:18" ht="15.75" customHeight="1" x14ac:dyDescent="0.25">
      <c r="A64" s="84"/>
      <c r="B64" s="92"/>
      <c r="C64" s="93" t="s">
        <v>406</v>
      </c>
      <c r="D64" s="95" t="s">
        <v>406</v>
      </c>
      <c r="E64" s="95" t="s">
        <v>407</v>
      </c>
      <c r="F64" s="95"/>
      <c r="G64" s="95"/>
      <c r="H64" s="95"/>
      <c r="I64" s="95"/>
      <c r="J64" s="95"/>
      <c r="K64" s="95" t="s">
        <v>408</v>
      </c>
      <c r="L64" s="94"/>
      <c r="M64" s="94"/>
      <c r="N64" s="94"/>
      <c r="O64" s="94"/>
      <c r="P64" s="94"/>
      <c r="Q64" s="94"/>
      <c r="R64" s="94"/>
    </row>
    <row r="65" spans="1:18" ht="15.75" customHeight="1" x14ac:dyDescent="0.25">
      <c r="A65" s="84"/>
      <c r="B65" s="75"/>
      <c r="C65" s="94"/>
      <c r="D65" s="94"/>
      <c r="E65" s="95"/>
      <c r="F65" s="95"/>
      <c r="G65" s="95"/>
      <c r="H65" s="95"/>
      <c r="I65" s="95"/>
      <c r="J65" s="95"/>
      <c r="K65" s="94"/>
      <c r="L65" s="94"/>
      <c r="M65" s="94"/>
      <c r="N65" s="94"/>
      <c r="O65" s="94"/>
      <c r="P65" s="94"/>
      <c r="Q65" s="94"/>
      <c r="R65" s="94"/>
    </row>
    <row r="66" spans="1:18" ht="15.75" customHeight="1" x14ac:dyDescent="0.25">
      <c r="A66" s="84" t="s">
        <v>773</v>
      </c>
      <c r="B66" s="91" t="s">
        <v>409</v>
      </c>
      <c r="C66" s="36" t="s">
        <v>387</v>
      </c>
      <c r="D66" s="36" t="s">
        <v>388</v>
      </c>
      <c r="E66" s="36" t="s">
        <v>389</v>
      </c>
      <c r="F66" s="36" t="s">
        <v>390</v>
      </c>
      <c r="G66" s="36" t="s">
        <v>391</v>
      </c>
      <c r="H66" s="36" t="s">
        <v>392</v>
      </c>
      <c r="I66" s="36" t="s">
        <v>393</v>
      </c>
      <c r="J66" s="36" t="s">
        <v>394</v>
      </c>
      <c r="K66" s="36" t="s">
        <v>395</v>
      </c>
      <c r="L66" s="36" t="s">
        <v>396</v>
      </c>
      <c r="M66" s="36" t="s">
        <v>397</v>
      </c>
      <c r="N66" s="36" t="s">
        <v>398</v>
      </c>
      <c r="O66" s="36" t="s">
        <v>399</v>
      </c>
      <c r="P66" s="36" t="s">
        <v>400</v>
      </c>
      <c r="Q66" s="36" t="s">
        <v>401</v>
      </c>
      <c r="R66" s="36" t="s">
        <v>402</v>
      </c>
    </row>
    <row r="67" spans="1:18" ht="15.75" customHeight="1" x14ac:dyDescent="0.25">
      <c r="A67" s="84"/>
      <c r="B67" s="92"/>
      <c r="C67" s="95" t="s">
        <v>403</v>
      </c>
      <c r="D67" s="95"/>
      <c r="E67" s="95"/>
      <c r="F67" s="95"/>
      <c r="G67" s="95"/>
      <c r="H67" s="95"/>
      <c r="I67" s="95"/>
      <c r="J67" s="95"/>
      <c r="K67" s="95"/>
      <c r="L67" s="95"/>
      <c r="M67" s="95"/>
      <c r="N67" s="95"/>
      <c r="O67" s="95"/>
      <c r="P67" s="95"/>
      <c r="Q67" s="95"/>
      <c r="R67" s="95"/>
    </row>
    <row r="68" spans="1:18" ht="15.75" customHeight="1" x14ac:dyDescent="0.25">
      <c r="A68" s="84"/>
      <c r="B68" s="75"/>
      <c r="C68" s="95"/>
      <c r="D68" s="95"/>
      <c r="E68" s="95"/>
      <c r="F68" s="95"/>
      <c r="G68" s="95"/>
      <c r="H68" s="95"/>
      <c r="I68" s="95"/>
      <c r="J68" s="95"/>
      <c r="K68" s="95"/>
      <c r="L68" s="95"/>
      <c r="M68" s="95"/>
      <c r="N68" s="95"/>
      <c r="O68" s="95"/>
      <c r="P68" s="95"/>
      <c r="Q68" s="95"/>
      <c r="R68" s="95"/>
    </row>
    <row r="69" spans="1:18" ht="15.75" customHeight="1" x14ac:dyDescent="0.25">
      <c r="A69" s="84" t="s">
        <v>774</v>
      </c>
      <c r="B69" s="83" t="s">
        <v>781</v>
      </c>
      <c r="C69" s="36" t="s">
        <v>387</v>
      </c>
      <c r="D69" s="36" t="s">
        <v>388</v>
      </c>
      <c r="E69" s="36" t="s">
        <v>389</v>
      </c>
      <c r="F69" s="36" t="s">
        <v>390</v>
      </c>
      <c r="G69" s="36" t="s">
        <v>391</v>
      </c>
      <c r="H69" s="36" t="s">
        <v>392</v>
      </c>
      <c r="I69" s="36" t="s">
        <v>393</v>
      </c>
      <c r="J69" s="36" t="s">
        <v>394</v>
      </c>
      <c r="K69" s="14"/>
      <c r="L69" s="14"/>
      <c r="M69" s="14"/>
      <c r="N69" s="14"/>
      <c r="O69" s="14"/>
      <c r="P69" s="14"/>
      <c r="Q69" s="14"/>
      <c r="R69" s="14"/>
    </row>
    <row r="70" spans="1:18" ht="15.75" customHeight="1" x14ac:dyDescent="0.25">
      <c r="A70" s="84"/>
      <c r="B70" s="83"/>
      <c r="C70" s="88"/>
      <c r="D70" s="89"/>
      <c r="E70" s="89"/>
      <c r="F70" s="90"/>
      <c r="G70" s="30" t="s">
        <v>778</v>
      </c>
      <c r="H70" s="30" t="s">
        <v>777</v>
      </c>
      <c r="I70" s="30" t="s">
        <v>776</v>
      </c>
      <c r="J70" s="30" t="s">
        <v>775</v>
      </c>
      <c r="K70" s="56"/>
      <c r="L70" s="56"/>
      <c r="M70" s="56"/>
      <c r="N70" s="56"/>
      <c r="O70" s="56"/>
      <c r="P70" s="56"/>
      <c r="Q70" s="56"/>
      <c r="R70" s="56"/>
    </row>
    <row r="71" spans="1:18" ht="15.75" customHeight="1" x14ac:dyDescent="0.25">
      <c r="A71" s="84"/>
      <c r="B71" s="83"/>
      <c r="C71" s="85" t="s">
        <v>779</v>
      </c>
      <c r="D71" s="86"/>
      <c r="E71" s="86"/>
      <c r="F71" s="87"/>
      <c r="G71" s="59" t="s">
        <v>780</v>
      </c>
      <c r="H71" s="86" t="s">
        <v>782</v>
      </c>
      <c r="I71" s="86"/>
      <c r="J71" s="87"/>
      <c r="K71" s="56"/>
      <c r="L71" s="56"/>
      <c r="M71" s="56"/>
      <c r="N71" s="56"/>
      <c r="O71" s="56"/>
      <c r="P71" s="56"/>
      <c r="Q71" s="56"/>
      <c r="R71" s="56"/>
    </row>
    <row r="72" spans="1:18" ht="15.75" customHeight="1" x14ac:dyDescent="0.25"/>
    <row r="73" spans="1:18" ht="15.75" customHeight="1" x14ac:dyDescent="0.25"/>
  </sheetData>
  <mergeCells count="120">
    <mergeCell ref="A48:A50"/>
    <mergeCell ref="A45:A47"/>
    <mergeCell ref="A30:A32"/>
    <mergeCell ref="A33:A35"/>
    <mergeCell ref="A36:A38"/>
    <mergeCell ref="A39:A41"/>
    <mergeCell ref="A42:A44"/>
    <mergeCell ref="A18:A20"/>
    <mergeCell ref="A21:A23"/>
    <mergeCell ref="A24:A26"/>
    <mergeCell ref="A27:A29"/>
    <mergeCell ref="D24:E24"/>
    <mergeCell ref="D29:E29"/>
    <mergeCell ref="G18:H18"/>
    <mergeCell ref="H25:I25"/>
    <mergeCell ref="D22:E22"/>
    <mergeCell ref="L28:M28"/>
    <mergeCell ref="L27:M27"/>
    <mergeCell ref="N27:O27"/>
    <mergeCell ref="L26:M26"/>
    <mergeCell ref="N26:O26"/>
    <mergeCell ref="N28:O28"/>
    <mergeCell ref="J26:K26"/>
    <mergeCell ref="J27:K27"/>
    <mergeCell ref="J28:K28"/>
    <mergeCell ref="J29:K29"/>
    <mergeCell ref="L29:M29"/>
    <mergeCell ref="N29:O29"/>
    <mergeCell ref="A3:A5"/>
    <mergeCell ref="A6:A8"/>
    <mergeCell ref="A9:A11"/>
    <mergeCell ref="A12:A14"/>
    <mergeCell ref="A15:A17"/>
    <mergeCell ref="D9:E9"/>
    <mergeCell ref="D11:E11"/>
    <mergeCell ref="A1:R1"/>
    <mergeCell ref="G23:H23"/>
    <mergeCell ref="G11:H11"/>
    <mergeCell ref="D12:E12"/>
    <mergeCell ref="G12:H12"/>
    <mergeCell ref="G9:H9"/>
    <mergeCell ref="D14:E14"/>
    <mergeCell ref="G14:H14"/>
    <mergeCell ref="D15:E15"/>
    <mergeCell ref="G15:H15"/>
    <mergeCell ref="D16:E16"/>
    <mergeCell ref="G16:H16"/>
    <mergeCell ref="D23:E23"/>
    <mergeCell ref="A53:R53"/>
    <mergeCell ref="J25:K25"/>
    <mergeCell ref="L25:M25"/>
    <mergeCell ref="N25:O25"/>
    <mergeCell ref="D44:E44"/>
    <mergeCell ref="G44:H44"/>
    <mergeCell ref="D41:E41"/>
    <mergeCell ref="G41:H41"/>
    <mergeCell ref="D42:E42"/>
    <mergeCell ref="G42:H42"/>
    <mergeCell ref="D43:E43"/>
    <mergeCell ref="G43:H43"/>
    <mergeCell ref="D38:E38"/>
    <mergeCell ref="D39:E39"/>
    <mergeCell ref="D25:E25"/>
    <mergeCell ref="F25:G25"/>
    <mergeCell ref="G39:H39"/>
    <mergeCell ref="D40:E40"/>
    <mergeCell ref="G40:H40"/>
    <mergeCell ref="D35:E35"/>
    <mergeCell ref="D36:E36"/>
    <mergeCell ref="D37:E37"/>
    <mergeCell ref="D30:E30"/>
    <mergeCell ref="D31:E31"/>
    <mergeCell ref="D32:E32"/>
    <mergeCell ref="D33:E33"/>
    <mergeCell ref="D34:E34"/>
    <mergeCell ref="D26:E26"/>
    <mergeCell ref="F26:G26"/>
    <mergeCell ref="H26:I26"/>
    <mergeCell ref="D27:E27"/>
    <mergeCell ref="F27:G27"/>
    <mergeCell ref="H27:I27"/>
    <mergeCell ref="D28:E28"/>
    <mergeCell ref="F28:G28"/>
    <mergeCell ref="H28:I28"/>
    <mergeCell ref="F29:G29"/>
    <mergeCell ref="H29:I29"/>
    <mergeCell ref="K64:R65"/>
    <mergeCell ref="A66:A68"/>
    <mergeCell ref="B66:B68"/>
    <mergeCell ref="C67:R68"/>
    <mergeCell ref="A61:R61"/>
    <mergeCell ref="D19:E19"/>
    <mergeCell ref="G19:H19"/>
    <mergeCell ref="D10:E10"/>
    <mergeCell ref="G10:H10"/>
    <mergeCell ref="D13:E13"/>
    <mergeCell ref="G13:H13"/>
    <mergeCell ref="D17:E17"/>
    <mergeCell ref="G17:H17"/>
    <mergeCell ref="D18:E18"/>
    <mergeCell ref="D20:E20"/>
    <mergeCell ref="G20:H20"/>
    <mergeCell ref="D21:E21"/>
    <mergeCell ref="G21:H21"/>
    <mergeCell ref="F24:G24"/>
    <mergeCell ref="H24:I24"/>
    <mergeCell ref="G22:H22"/>
    <mergeCell ref="J24:K24"/>
    <mergeCell ref="L24:M24"/>
    <mergeCell ref="N24:O24"/>
    <mergeCell ref="B69:B71"/>
    <mergeCell ref="A69:A71"/>
    <mergeCell ref="C71:F71"/>
    <mergeCell ref="H71:J71"/>
    <mergeCell ref="C70:F70"/>
    <mergeCell ref="A63:A65"/>
    <mergeCell ref="B63:B65"/>
    <mergeCell ref="C64:C65"/>
    <mergeCell ref="D64:D65"/>
    <mergeCell ref="E64:J65"/>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5"/>
  <sheetViews>
    <sheetView topLeftCell="A49" workbookViewId="0">
      <selection activeCell="M11" sqref="M11"/>
    </sheetView>
  </sheetViews>
  <sheetFormatPr defaultRowHeight="15.75" x14ac:dyDescent="0.25"/>
  <cols>
    <col min="1" max="1" width="9.140625" style="35"/>
    <col min="2" max="2" width="18" style="35" bestFit="1" customWidth="1"/>
    <col min="3" max="3" width="12.5703125" style="35" bestFit="1" customWidth="1"/>
    <col min="4" max="4" width="13.7109375" style="35" bestFit="1" customWidth="1"/>
    <col min="5" max="6" width="12.5703125" style="35" bestFit="1" customWidth="1"/>
    <col min="7" max="7" width="13.7109375" style="35" bestFit="1" customWidth="1"/>
    <col min="8" max="9" width="12.5703125" style="35" bestFit="1" customWidth="1"/>
    <col min="10" max="16384" width="9.140625" style="35"/>
  </cols>
  <sheetData>
    <row r="1" spans="1:18" ht="45.75" customHeight="1" x14ac:dyDescent="0.4">
      <c r="A1" s="161" t="s">
        <v>861</v>
      </c>
      <c r="B1" s="81"/>
      <c r="C1" s="81"/>
      <c r="D1" s="81"/>
      <c r="E1" s="81"/>
      <c r="F1" s="81"/>
      <c r="G1" s="81"/>
      <c r="H1" s="81"/>
      <c r="I1" s="81"/>
      <c r="J1" s="81"/>
      <c r="K1" s="81"/>
      <c r="L1" s="81"/>
      <c r="M1" s="81"/>
      <c r="N1" s="81"/>
      <c r="O1" s="81"/>
      <c r="P1" s="81"/>
      <c r="Q1" s="81"/>
      <c r="R1" s="82"/>
    </row>
    <row r="2" spans="1:18" ht="18.75" x14ac:dyDescent="0.25">
      <c r="A2" s="62" t="s">
        <v>177</v>
      </c>
      <c r="B2" s="62" t="s">
        <v>42</v>
      </c>
      <c r="C2" s="62" t="s">
        <v>31</v>
      </c>
      <c r="D2" s="62" t="s">
        <v>32</v>
      </c>
      <c r="E2" s="62" t="s">
        <v>179</v>
      </c>
      <c r="F2" s="62" t="s">
        <v>33</v>
      </c>
      <c r="G2" s="62" t="s">
        <v>34</v>
      </c>
      <c r="H2" s="62" t="s">
        <v>808</v>
      </c>
      <c r="I2" s="62" t="s">
        <v>182</v>
      </c>
      <c r="J2" s="62" t="s">
        <v>183</v>
      </c>
      <c r="K2" s="62" t="s">
        <v>184</v>
      </c>
      <c r="L2" s="62" t="s">
        <v>36</v>
      </c>
      <c r="M2" s="62" t="s">
        <v>37</v>
      </c>
      <c r="N2" s="62" t="s">
        <v>38</v>
      </c>
      <c r="O2" s="62" t="s">
        <v>39</v>
      </c>
      <c r="P2" s="62" t="s">
        <v>40</v>
      </c>
      <c r="Q2" s="62" t="s">
        <v>41</v>
      </c>
      <c r="R2" s="62" t="s">
        <v>188</v>
      </c>
    </row>
    <row r="3" spans="1:18" x14ac:dyDescent="0.25">
      <c r="A3" s="84" t="s">
        <v>31</v>
      </c>
      <c r="B3" s="83" t="s">
        <v>45</v>
      </c>
      <c r="C3" s="36" t="s">
        <v>809</v>
      </c>
      <c r="D3" s="36" t="s">
        <v>24</v>
      </c>
      <c r="E3" s="36" t="s">
        <v>13</v>
      </c>
      <c r="F3" s="36" t="s">
        <v>25</v>
      </c>
      <c r="G3" s="36" t="s">
        <v>14</v>
      </c>
      <c r="H3" s="36" t="s">
        <v>810</v>
      </c>
      <c r="I3" s="36" t="s">
        <v>195</v>
      </c>
      <c r="J3" s="63"/>
      <c r="K3" s="63"/>
      <c r="L3" s="63"/>
      <c r="M3" s="63"/>
      <c r="N3" s="63"/>
      <c r="O3" s="63"/>
      <c r="P3" s="63"/>
      <c r="Q3" s="63"/>
      <c r="R3" s="63"/>
    </row>
    <row r="4" spans="1:18" x14ac:dyDescent="0.25">
      <c r="A4" s="84"/>
      <c r="B4" s="83"/>
      <c r="C4" s="64" t="s">
        <v>0</v>
      </c>
      <c r="D4" s="95" t="s">
        <v>44</v>
      </c>
      <c r="E4" s="95"/>
      <c r="F4" s="95"/>
      <c r="G4" s="95"/>
      <c r="H4" s="95"/>
      <c r="I4" s="95"/>
      <c r="J4" s="63"/>
      <c r="K4" s="63"/>
      <c r="L4" s="63"/>
      <c r="M4" s="63"/>
      <c r="N4" s="63"/>
      <c r="O4" s="63"/>
      <c r="P4" s="63"/>
      <c r="Q4" s="63"/>
      <c r="R4" s="63"/>
    </row>
    <row r="5" spans="1:18" x14ac:dyDescent="0.25">
      <c r="A5" s="84"/>
      <c r="B5" s="63" t="s">
        <v>198</v>
      </c>
      <c r="C5" s="64"/>
      <c r="D5" s="61"/>
      <c r="E5" s="61"/>
      <c r="F5" s="61"/>
      <c r="G5" s="61"/>
      <c r="H5" s="61"/>
      <c r="I5" s="61"/>
      <c r="J5" s="63"/>
      <c r="K5" s="63"/>
      <c r="L5" s="63"/>
      <c r="M5" s="63"/>
      <c r="N5" s="63"/>
      <c r="O5" s="63"/>
      <c r="P5" s="63"/>
      <c r="Q5" s="63"/>
      <c r="R5" s="63"/>
    </row>
    <row r="6" spans="1:18" x14ac:dyDescent="0.25">
      <c r="A6" s="84" t="s">
        <v>43</v>
      </c>
      <c r="B6" s="83" t="s">
        <v>201</v>
      </c>
      <c r="C6" s="36" t="s">
        <v>9</v>
      </c>
      <c r="D6" s="36" t="s">
        <v>24</v>
      </c>
      <c r="E6" s="36" t="s">
        <v>811</v>
      </c>
      <c r="F6" s="36" t="s">
        <v>812</v>
      </c>
      <c r="G6" s="36" t="s">
        <v>813</v>
      </c>
      <c r="H6" s="36" t="s">
        <v>26</v>
      </c>
      <c r="I6" s="36" t="s">
        <v>195</v>
      </c>
      <c r="J6" s="63"/>
      <c r="K6" s="63"/>
      <c r="L6" s="63"/>
      <c r="M6" s="63"/>
      <c r="N6" s="63"/>
      <c r="O6" s="63"/>
      <c r="P6" s="63"/>
      <c r="Q6" s="63"/>
      <c r="R6" s="63"/>
    </row>
    <row r="7" spans="1:18" x14ac:dyDescent="0.25">
      <c r="A7" s="84"/>
      <c r="B7" s="83"/>
      <c r="C7" s="64" t="s">
        <v>0</v>
      </c>
      <c r="D7" s="95" t="s">
        <v>46</v>
      </c>
      <c r="E7" s="95"/>
      <c r="F7" s="95"/>
      <c r="G7" s="95"/>
      <c r="H7" s="95"/>
      <c r="I7" s="95"/>
      <c r="J7" s="63"/>
      <c r="K7" s="63"/>
      <c r="L7" s="63"/>
      <c r="M7" s="63"/>
      <c r="N7" s="63"/>
      <c r="O7" s="63"/>
      <c r="P7" s="63"/>
      <c r="Q7" s="63"/>
      <c r="R7" s="63"/>
    </row>
    <row r="8" spans="1:18" x14ac:dyDescent="0.25">
      <c r="A8" s="84"/>
      <c r="B8" s="63" t="s">
        <v>198</v>
      </c>
      <c r="C8" s="64"/>
      <c r="D8" s="61"/>
      <c r="E8" s="61"/>
      <c r="F8" s="61"/>
      <c r="G8" s="61"/>
      <c r="H8" s="61"/>
      <c r="I8" s="61"/>
      <c r="J8" s="63"/>
      <c r="K8" s="63"/>
      <c r="L8" s="63"/>
      <c r="M8" s="63"/>
      <c r="N8" s="63"/>
      <c r="O8" s="63"/>
      <c r="P8" s="63"/>
      <c r="Q8" s="63"/>
      <c r="R8" s="63"/>
    </row>
    <row r="9" spans="1:18" x14ac:dyDescent="0.25">
      <c r="A9" s="84" t="s">
        <v>207</v>
      </c>
      <c r="B9" s="83" t="s">
        <v>8</v>
      </c>
      <c r="C9" s="36" t="s">
        <v>9</v>
      </c>
      <c r="D9" s="148" t="s">
        <v>10</v>
      </c>
      <c r="E9" s="148"/>
      <c r="F9" s="36" t="s">
        <v>13</v>
      </c>
      <c r="G9" s="148" t="s">
        <v>11</v>
      </c>
      <c r="H9" s="148"/>
      <c r="I9" s="36" t="s">
        <v>14</v>
      </c>
      <c r="J9" s="63"/>
      <c r="K9" s="63"/>
      <c r="L9" s="63"/>
      <c r="M9" s="63"/>
      <c r="N9" s="63"/>
      <c r="O9" s="63"/>
      <c r="P9" s="63"/>
      <c r="Q9" s="63"/>
      <c r="R9" s="63"/>
    </row>
    <row r="10" spans="1:18" x14ac:dyDescent="0.25">
      <c r="A10" s="84"/>
      <c r="B10" s="83"/>
      <c r="C10" s="64" t="s">
        <v>0</v>
      </c>
      <c r="D10" s="95" t="s">
        <v>2</v>
      </c>
      <c r="E10" s="95"/>
      <c r="F10" s="61" t="s">
        <v>1</v>
      </c>
      <c r="G10" s="95" t="s">
        <v>3</v>
      </c>
      <c r="H10" s="95"/>
      <c r="I10" s="61" t="s">
        <v>4</v>
      </c>
      <c r="J10" s="63"/>
      <c r="K10" s="63"/>
      <c r="L10" s="63"/>
      <c r="M10" s="63"/>
      <c r="N10" s="63"/>
      <c r="O10" s="63"/>
      <c r="P10" s="63"/>
      <c r="Q10" s="63"/>
      <c r="R10" s="63"/>
    </row>
    <row r="11" spans="1:18" x14ac:dyDescent="0.25">
      <c r="A11" s="84"/>
      <c r="B11" s="63" t="s">
        <v>814</v>
      </c>
      <c r="C11" s="64"/>
      <c r="D11" s="149"/>
      <c r="E11" s="149"/>
      <c r="F11" s="61">
        <v>10</v>
      </c>
      <c r="G11" s="95"/>
      <c r="H11" s="95"/>
      <c r="I11" s="61">
        <v>6</v>
      </c>
      <c r="J11" s="63"/>
      <c r="K11" s="63"/>
      <c r="L11" s="63"/>
      <c r="M11" s="63"/>
      <c r="N11" s="63"/>
      <c r="O11" s="63"/>
      <c r="P11" s="63"/>
      <c r="Q11" s="63"/>
      <c r="R11" s="63"/>
    </row>
    <row r="12" spans="1:18" x14ac:dyDescent="0.25">
      <c r="A12" s="84" t="s">
        <v>217</v>
      </c>
      <c r="B12" s="83" t="s">
        <v>815</v>
      </c>
      <c r="C12" s="36" t="s">
        <v>9</v>
      </c>
      <c r="D12" s="148" t="s">
        <v>10</v>
      </c>
      <c r="E12" s="148"/>
      <c r="F12" s="36" t="s">
        <v>13</v>
      </c>
      <c r="G12" s="148" t="s">
        <v>11</v>
      </c>
      <c r="H12" s="148"/>
      <c r="I12" s="36" t="s">
        <v>14</v>
      </c>
      <c r="J12" s="63"/>
      <c r="K12" s="63"/>
      <c r="L12" s="63"/>
      <c r="M12" s="63"/>
      <c r="N12" s="63"/>
      <c r="O12" s="63"/>
      <c r="P12" s="63"/>
      <c r="Q12" s="63"/>
      <c r="R12" s="63"/>
    </row>
    <row r="13" spans="1:18" x14ac:dyDescent="0.25">
      <c r="A13" s="84"/>
      <c r="B13" s="83"/>
      <c r="C13" s="64" t="s">
        <v>0</v>
      </c>
      <c r="D13" s="95" t="s">
        <v>2</v>
      </c>
      <c r="E13" s="95"/>
      <c r="F13" s="61" t="s">
        <v>1</v>
      </c>
      <c r="G13" s="95" t="s">
        <v>3</v>
      </c>
      <c r="H13" s="95"/>
      <c r="I13" s="61" t="s">
        <v>4</v>
      </c>
      <c r="J13" s="63"/>
      <c r="K13" s="63"/>
      <c r="L13" s="63"/>
      <c r="M13" s="63"/>
      <c r="N13" s="63"/>
      <c r="O13" s="63"/>
      <c r="P13" s="63"/>
      <c r="Q13" s="63"/>
      <c r="R13" s="63"/>
    </row>
    <row r="14" spans="1:18" x14ac:dyDescent="0.25">
      <c r="A14" s="84"/>
      <c r="B14" s="63" t="s">
        <v>814</v>
      </c>
      <c r="C14" s="64"/>
      <c r="D14" s="149"/>
      <c r="E14" s="149"/>
      <c r="F14" s="61">
        <v>10</v>
      </c>
      <c r="G14" s="95"/>
      <c r="H14" s="95"/>
      <c r="I14" s="61">
        <v>6</v>
      </c>
      <c r="J14" s="63"/>
      <c r="K14" s="63"/>
      <c r="L14" s="63"/>
      <c r="M14" s="63"/>
      <c r="N14" s="63"/>
      <c r="O14" s="63"/>
      <c r="P14" s="63"/>
      <c r="Q14" s="63"/>
      <c r="R14" s="63"/>
    </row>
    <row r="15" spans="1:18" ht="15.75" customHeight="1" x14ac:dyDescent="0.25">
      <c r="A15" s="84" t="s">
        <v>337</v>
      </c>
      <c r="B15" s="83" t="s">
        <v>816</v>
      </c>
      <c r="C15" s="36" t="s">
        <v>9</v>
      </c>
      <c r="D15" s="148" t="s">
        <v>10</v>
      </c>
      <c r="E15" s="148"/>
      <c r="F15" s="36" t="s">
        <v>13</v>
      </c>
      <c r="G15" s="98" t="s">
        <v>11</v>
      </c>
      <c r="H15" s="150"/>
      <c r="I15" s="36" t="s">
        <v>14</v>
      </c>
      <c r="J15" s="63"/>
      <c r="K15" s="63"/>
      <c r="L15" s="63"/>
      <c r="M15" s="63"/>
      <c r="N15" s="63"/>
      <c r="O15" s="63"/>
      <c r="P15" s="63"/>
      <c r="Q15" s="63"/>
      <c r="R15" s="63"/>
    </row>
    <row r="16" spans="1:18" ht="15.75" customHeight="1" x14ac:dyDescent="0.25">
      <c r="A16" s="84"/>
      <c r="B16" s="83"/>
      <c r="C16" s="64" t="s">
        <v>0</v>
      </c>
      <c r="D16" s="95" t="s">
        <v>2</v>
      </c>
      <c r="E16" s="95"/>
      <c r="F16" s="61" t="s">
        <v>817</v>
      </c>
      <c r="G16" s="88" t="s">
        <v>3</v>
      </c>
      <c r="H16" s="90"/>
      <c r="I16" s="61" t="s">
        <v>4</v>
      </c>
      <c r="J16" s="63"/>
      <c r="K16" s="63"/>
      <c r="L16" s="63"/>
      <c r="M16" s="63"/>
      <c r="N16" s="63"/>
      <c r="O16" s="63"/>
      <c r="P16" s="63"/>
      <c r="Q16" s="63"/>
      <c r="R16" s="63"/>
    </row>
    <row r="17" spans="1:18" ht="15.75" customHeight="1" x14ac:dyDescent="0.25">
      <c r="A17" s="84"/>
      <c r="B17" s="63" t="s">
        <v>814</v>
      </c>
      <c r="C17" s="64"/>
      <c r="D17" s="149"/>
      <c r="E17" s="149"/>
      <c r="F17" s="61">
        <v>7</v>
      </c>
      <c r="G17" s="88"/>
      <c r="H17" s="90"/>
      <c r="I17" s="61">
        <v>3</v>
      </c>
      <c r="J17" s="63"/>
      <c r="K17" s="63"/>
      <c r="L17" s="63"/>
      <c r="M17" s="63"/>
      <c r="N17" s="63"/>
      <c r="O17" s="63"/>
      <c r="P17" s="63"/>
      <c r="Q17" s="63"/>
      <c r="R17" s="63"/>
    </row>
    <row r="18" spans="1:18" x14ac:dyDescent="0.25">
      <c r="A18" s="84" t="s">
        <v>114</v>
      </c>
      <c r="B18" s="83" t="s">
        <v>818</v>
      </c>
      <c r="C18" s="36" t="s">
        <v>9</v>
      </c>
      <c r="D18" s="148" t="s">
        <v>10</v>
      </c>
      <c r="E18" s="148"/>
      <c r="F18" s="36" t="s">
        <v>13</v>
      </c>
      <c r="G18" s="98" t="s">
        <v>11</v>
      </c>
      <c r="H18" s="150"/>
      <c r="I18" s="36" t="s">
        <v>14</v>
      </c>
      <c r="J18" s="63"/>
      <c r="K18" s="63"/>
      <c r="L18" s="63"/>
      <c r="M18" s="63"/>
      <c r="N18" s="63"/>
      <c r="O18" s="63"/>
      <c r="P18" s="63"/>
      <c r="Q18" s="63"/>
      <c r="R18" s="63"/>
    </row>
    <row r="19" spans="1:18" x14ac:dyDescent="0.25">
      <c r="A19" s="84"/>
      <c r="B19" s="83"/>
      <c r="C19" s="64" t="s">
        <v>0</v>
      </c>
      <c r="D19" s="95" t="s">
        <v>2</v>
      </c>
      <c r="E19" s="95"/>
      <c r="F19" s="61" t="s">
        <v>1</v>
      </c>
      <c r="G19" s="88" t="s">
        <v>3</v>
      </c>
      <c r="H19" s="90"/>
      <c r="I19" s="61" t="s">
        <v>4</v>
      </c>
      <c r="J19" s="63"/>
      <c r="K19" s="63"/>
      <c r="L19" s="63"/>
      <c r="M19" s="63"/>
      <c r="N19" s="63"/>
      <c r="O19" s="63"/>
      <c r="P19" s="63"/>
      <c r="Q19" s="63"/>
      <c r="R19" s="63"/>
    </row>
    <row r="20" spans="1:18" x14ac:dyDescent="0.25">
      <c r="A20" s="84"/>
      <c r="B20" s="63" t="s">
        <v>814</v>
      </c>
      <c r="C20" s="64"/>
      <c r="D20" s="149"/>
      <c r="E20" s="149"/>
      <c r="F20" s="61">
        <v>0</v>
      </c>
      <c r="G20" s="88"/>
      <c r="H20" s="90"/>
      <c r="I20" s="61">
        <v>2</v>
      </c>
      <c r="J20" s="63"/>
      <c r="K20" s="63"/>
      <c r="L20" s="63"/>
      <c r="M20" s="63"/>
      <c r="N20" s="63"/>
      <c r="O20" s="63"/>
      <c r="P20" s="63"/>
      <c r="Q20" s="63"/>
      <c r="R20" s="63"/>
    </row>
    <row r="21" spans="1:18" x14ac:dyDescent="0.25">
      <c r="A21" s="84" t="s">
        <v>240</v>
      </c>
      <c r="B21" s="83" t="s">
        <v>819</v>
      </c>
      <c r="C21" s="36" t="s">
        <v>9</v>
      </c>
      <c r="D21" s="148" t="s">
        <v>10</v>
      </c>
      <c r="E21" s="148"/>
      <c r="F21" s="36" t="s">
        <v>13</v>
      </c>
      <c r="G21" s="98" t="s">
        <v>11</v>
      </c>
      <c r="H21" s="150"/>
      <c r="I21" s="36" t="s">
        <v>813</v>
      </c>
      <c r="J21" s="63"/>
      <c r="K21" s="63"/>
      <c r="L21" s="63"/>
      <c r="M21" s="63"/>
      <c r="N21" s="63"/>
      <c r="O21" s="63"/>
      <c r="P21" s="63"/>
      <c r="Q21" s="63"/>
      <c r="R21" s="63"/>
    </row>
    <row r="22" spans="1:18" x14ac:dyDescent="0.25">
      <c r="A22" s="84"/>
      <c r="B22" s="83"/>
      <c r="C22" s="64" t="s">
        <v>0</v>
      </c>
      <c r="D22" s="95" t="s">
        <v>2</v>
      </c>
      <c r="E22" s="95"/>
      <c r="F22" s="61" t="s">
        <v>1</v>
      </c>
      <c r="G22" s="88" t="s">
        <v>3</v>
      </c>
      <c r="H22" s="90"/>
      <c r="I22" s="61" t="s">
        <v>4</v>
      </c>
      <c r="J22" s="63"/>
      <c r="K22" s="63"/>
      <c r="L22" s="63"/>
      <c r="M22" s="63"/>
      <c r="N22" s="63"/>
      <c r="O22" s="63"/>
      <c r="P22" s="63"/>
      <c r="Q22" s="63"/>
      <c r="R22" s="63"/>
    </row>
    <row r="23" spans="1:18" x14ac:dyDescent="0.25">
      <c r="A23" s="84"/>
      <c r="B23" s="63" t="s">
        <v>814</v>
      </c>
      <c r="C23" s="64"/>
      <c r="D23" s="149"/>
      <c r="E23" s="149"/>
      <c r="F23" s="61">
        <v>0</v>
      </c>
      <c r="G23" s="88"/>
      <c r="H23" s="90"/>
      <c r="I23" s="61">
        <v>2</v>
      </c>
      <c r="J23" s="63"/>
      <c r="K23" s="63"/>
      <c r="L23" s="63"/>
      <c r="M23" s="63"/>
      <c r="N23" s="63"/>
      <c r="O23" s="63"/>
      <c r="P23" s="63"/>
      <c r="Q23" s="63"/>
      <c r="R23" s="63"/>
    </row>
    <row r="24" spans="1:18" x14ac:dyDescent="0.25">
      <c r="A24" s="84" t="s">
        <v>250</v>
      </c>
      <c r="B24" s="83" t="s">
        <v>83</v>
      </c>
      <c r="C24" s="36" t="s">
        <v>9</v>
      </c>
      <c r="D24" s="98" t="s">
        <v>10</v>
      </c>
      <c r="E24" s="150"/>
      <c r="F24" s="98" t="s">
        <v>17</v>
      </c>
      <c r="G24" s="150"/>
      <c r="H24" s="98" t="s">
        <v>11</v>
      </c>
      <c r="I24" s="150"/>
      <c r="J24" s="98" t="s">
        <v>820</v>
      </c>
      <c r="K24" s="150"/>
      <c r="L24" s="98" t="s">
        <v>86</v>
      </c>
      <c r="M24" s="150"/>
      <c r="N24" s="98" t="s">
        <v>12</v>
      </c>
      <c r="O24" s="150"/>
      <c r="P24" s="63"/>
      <c r="Q24" s="63"/>
      <c r="R24" s="63"/>
    </row>
    <row r="25" spans="1:18" x14ac:dyDescent="0.25">
      <c r="A25" s="84"/>
      <c r="B25" s="83"/>
      <c r="C25" s="64" t="s">
        <v>0</v>
      </c>
      <c r="D25" s="88" t="s">
        <v>821</v>
      </c>
      <c r="E25" s="90"/>
      <c r="F25" s="88" t="s">
        <v>19</v>
      </c>
      <c r="G25" s="90"/>
      <c r="H25" s="88" t="s">
        <v>822</v>
      </c>
      <c r="I25" s="90"/>
      <c r="J25" s="88" t="s">
        <v>20</v>
      </c>
      <c r="K25" s="90"/>
      <c r="L25" s="88" t="s">
        <v>823</v>
      </c>
      <c r="M25" s="90"/>
      <c r="N25" s="88" t="s">
        <v>23</v>
      </c>
      <c r="O25" s="90"/>
      <c r="P25" s="63"/>
      <c r="Q25" s="63"/>
      <c r="R25" s="63"/>
    </row>
    <row r="26" spans="1:18" x14ac:dyDescent="0.25">
      <c r="A26" s="84"/>
      <c r="B26" s="63" t="s">
        <v>814</v>
      </c>
      <c r="C26" s="64"/>
      <c r="D26" s="88">
        <v>1800</v>
      </c>
      <c r="E26" s="90"/>
      <c r="F26" s="88"/>
      <c r="G26" s="90"/>
      <c r="H26" s="88">
        <v>2500</v>
      </c>
      <c r="I26" s="90"/>
      <c r="J26" s="88"/>
      <c r="K26" s="90"/>
      <c r="L26" s="88">
        <v>3600</v>
      </c>
      <c r="M26" s="90"/>
      <c r="N26" s="88"/>
      <c r="O26" s="90"/>
      <c r="P26" s="63"/>
      <c r="Q26" s="63"/>
      <c r="R26" s="63"/>
    </row>
    <row r="27" spans="1:18" x14ac:dyDescent="0.25">
      <c r="A27" s="84" t="s">
        <v>115</v>
      </c>
      <c r="B27" s="83" t="s">
        <v>97</v>
      </c>
      <c r="C27" s="36" t="s">
        <v>809</v>
      </c>
      <c r="D27" s="98" t="s">
        <v>824</v>
      </c>
      <c r="E27" s="150"/>
      <c r="F27" s="98" t="s">
        <v>17</v>
      </c>
      <c r="G27" s="150"/>
      <c r="H27" s="98" t="s">
        <v>11</v>
      </c>
      <c r="I27" s="150"/>
      <c r="J27" s="98" t="s">
        <v>18</v>
      </c>
      <c r="K27" s="150"/>
      <c r="L27" s="98" t="s">
        <v>86</v>
      </c>
      <c r="M27" s="150"/>
      <c r="N27" s="98" t="s">
        <v>825</v>
      </c>
      <c r="O27" s="150"/>
      <c r="P27" s="63"/>
      <c r="Q27" s="63"/>
      <c r="R27" s="63"/>
    </row>
    <row r="28" spans="1:18" x14ac:dyDescent="0.25">
      <c r="A28" s="84"/>
      <c r="B28" s="83"/>
      <c r="C28" s="64" t="s">
        <v>826</v>
      </c>
      <c r="D28" s="88" t="s">
        <v>2</v>
      </c>
      <c r="E28" s="90"/>
      <c r="F28" s="88" t="s">
        <v>19</v>
      </c>
      <c r="G28" s="90"/>
      <c r="H28" s="88" t="s">
        <v>3</v>
      </c>
      <c r="I28" s="90"/>
      <c r="J28" s="88" t="s">
        <v>20</v>
      </c>
      <c r="K28" s="90"/>
      <c r="L28" s="88" t="s">
        <v>22</v>
      </c>
      <c r="M28" s="90"/>
      <c r="N28" s="88" t="s">
        <v>23</v>
      </c>
      <c r="O28" s="90"/>
      <c r="P28" s="63"/>
      <c r="Q28" s="63"/>
      <c r="R28" s="63"/>
    </row>
    <row r="29" spans="1:18" x14ac:dyDescent="0.25">
      <c r="A29" s="84"/>
      <c r="B29" s="63" t="s">
        <v>814</v>
      </c>
      <c r="C29" s="64"/>
      <c r="D29" s="88">
        <v>0</v>
      </c>
      <c r="E29" s="90"/>
      <c r="F29" s="88"/>
      <c r="G29" s="90"/>
      <c r="H29" s="88">
        <v>1800</v>
      </c>
      <c r="I29" s="90"/>
      <c r="J29" s="88"/>
      <c r="K29" s="90"/>
      <c r="L29" s="88">
        <v>3600</v>
      </c>
      <c r="M29" s="90"/>
      <c r="N29" s="88"/>
      <c r="O29" s="90"/>
      <c r="P29" s="63"/>
      <c r="Q29" s="63"/>
      <c r="R29" s="63"/>
    </row>
    <row r="30" spans="1:18" x14ac:dyDescent="0.25">
      <c r="A30" s="84" t="s">
        <v>264</v>
      </c>
      <c r="B30" s="83" t="s">
        <v>28</v>
      </c>
      <c r="C30" s="36" t="s">
        <v>9</v>
      </c>
      <c r="D30" s="98" t="s">
        <v>10</v>
      </c>
      <c r="E30" s="150"/>
      <c r="F30" s="63"/>
      <c r="G30" s="63"/>
      <c r="H30" s="63"/>
      <c r="I30" s="63"/>
      <c r="J30" s="63"/>
      <c r="K30" s="63"/>
      <c r="L30" s="63"/>
      <c r="M30" s="63"/>
      <c r="N30" s="63"/>
      <c r="O30" s="63"/>
      <c r="P30" s="63"/>
      <c r="Q30" s="63"/>
      <c r="R30" s="63"/>
    </row>
    <row r="31" spans="1:18" x14ac:dyDescent="0.25">
      <c r="A31" s="84"/>
      <c r="B31" s="83"/>
      <c r="C31" s="64" t="s">
        <v>0</v>
      </c>
      <c r="D31" s="88" t="s">
        <v>827</v>
      </c>
      <c r="E31" s="90"/>
      <c r="F31" s="63"/>
      <c r="G31" s="63"/>
      <c r="H31" s="63"/>
      <c r="I31" s="63"/>
      <c r="J31" s="63"/>
      <c r="K31" s="63"/>
      <c r="L31" s="63"/>
      <c r="M31" s="63"/>
      <c r="N31" s="63"/>
      <c r="O31" s="63"/>
      <c r="P31" s="63"/>
      <c r="Q31" s="63"/>
      <c r="R31" s="63"/>
    </row>
    <row r="32" spans="1:18" x14ac:dyDescent="0.25">
      <c r="A32" s="84"/>
      <c r="B32" s="63" t="s">
        <v>814</v>
      </c>
      <c r="C32" s="64"/>
      <c r="D32" s="88"/>
      <c r="E32" s="90"/>
      <c r="F32" s="63"/>
      <c r="G32" s="63"/>
      <c r="H32" s="63"/>
      <c r="I32" s="63"/>
      <c r="J32" s="63"/>
      <c r="K32" s="63"/>
      <c r="L32" s="63"/>
      <c r="M32" s="63"/>
      <c r="N32" s="63"/>
      <c r="O32" s="63"/>
      <c r="P32" s="63"/>
      <c r="Q32" s="63"/>
      <c r="R32" s="63"/>
    </row>
    <row r="33" spans="1:18" x14ac:dyDescent="0.25">
      <c r="A33" s="84" t="s">
        <v>828</v>
      </c>
      <c r="B33" s="83" t="s">
        <v>30</v>
      </c>
      <c r="C33" s="36" t="s">
        <v>9</v>
      </c>
      <c r="D33" s="98" t="s">
        <v>10</v>
      </c>
      <c r="E33" s="150"/>
      <c r="F33" s="63"/>
      <c r="G33" s="63"/>
      <c r="H33" s="63"/>
      <c r="I33" s="63"/>
      <c r="J33" s="63"/>
      <c r="K33" s="63"/>
      <c r="L33" s="63"/>
      <c r="M33" s="63"/>
      <c r="N33" s="63"/>
      <c r="O33" s="63"/>
      <c r="P33" s="63"/>
      <c r="Q33" s="63"/>
      <c r="R33" s="63"/>
    </row>
    <row r="34" spans="1:18" x14ac:dyDescent="0.25">
      <c r="A34" s="84"/>
      <c r="B34" s="83"/>
      <c r="C34" s="64" t="s">
        <v>0</v>
      </c>
      <c r="D34" s="88" t="s">
        <v>29</v>
      </c>
      <c r="E34" s="90"/>
      <c r="F34" s="63"/>
      <c r="G34" s="63"/>
      <c r="H34" s="63"/>
      <c r="I34" s="63"/>
      <c r="J34" s="63"/>
      <c r="K34" s="63"/>
      <c r="L34" s="63"/>
      <c r="M34" s="63"/>
      <c r="N34" s="63"/>
      <c r="O34" s="63"/>
      <c r="P34" s="63"/>
      <c r="Q34" s="63"/>
      <c r="R34" s="63"/>
    </row>
    <row r="35" spans="1:18" x14ac:dyDescent="0.25">
      <c r="A35" s="84"/>
      <c r="B35" s="63" t="s">
        <v>814</v>
      </c>
      <c r="C35" s="64"/>
      <c r="D35" s="88"/>
      <c r="E35" s="90"/>
      <c r="F35" s="63"/>
      <c r="G35" s="63"/>
      <c r="H35" s="63"/>
      <c r="I35" s="63"/>
      <c r="J35" s="63"/>
      <c r="K35" s="63"/>
      <c r="L35" s="63"/>
      <c r="M35" s="63"/>
      <c r="N35" s="63"/>
      <c r="O35" s="63"/>
      <c r="P35" s="63"/>
      <c r="Q35" s="63"/>
      <c r="R35" s="63"/>
    </row>
    <row r="36" spans="1:18" x14ac:dyDescent="0.25">
      <c r="A36" s="84" t="s">
        <v>339</v>
      </c>
      <c r="B36" s="83" t="s">
        <v>829</v>
      </c>
      <c r="C36" s="36" t="s">
        <v>809</v>
      </c>
      <c r="D36" s="148" t="s">
        <v>10</v>
      </c>
      <c r="E36" s="148"/>
      <c r="F36" s="36" t="s">
        <v>811</v>
      </c>
      <c r="G36" s="98" t="s">
        <v>11</v>
      </c>
      <c r="H36" s="150"/>
      <c r="I36" s="36" t="s">
        <v>14</v>
      </c>
      <c r="J36" s="63"/>
      <c r="K36" s="63"/>
      <c r="L36" s="63"/>
      <c r="M36" s="63"/>
      <c r="N36" s="63"/>
      <c r="O36" s="63"/>
      <c r="P36" s="63"/>
      <c r="Q36" s="63"/>
      <c r="R36" s="63"/>
    </row>
    <row r="37" spans="1:18" x14ac:dyDescent="0.25">
      <c r="A37" s="84"/>
      <c r="B37" s="83"/>
      <c r="C37" s="64" t="s">
        <v>0</v>
      </c>
      <c r="D37" s="95" t="s">
        <v>821</v>
      </c>
      <c r="E37" s="95"/>
      <c r="F37" s="61" t="s">
        <v>1</v>
      </c>
      <c r="G37" s="88" t="s">
        <v>3</v>
      </c>
      <c r="H37" s="90"/>
      <c r="I37" s="61" t="s">
        <v>4</v>
      </c>
      <c r="J37" s="63"/>
      <c r="K37" s="63"/>
      <c r="L37" s="63"/>
      <c r="M37" s="63"/>
      <c r="N37" s="63"/>
      <c r="O37" s="63"/>
      <c r="P37" s="63"/>
      <c r="Q37" s="63"/>
      <c r="R37" s="63"/>
    </row>
    <row r="38" spans="1:18" x14ac:dyDescent="0.25">
      <c r="A38" s="84"/>
      <c r="B38" s="63" t="s">
        <v>814</v>
      </c>
      <c r="C38" s="64"/>
      <c r="D38" s="149"/>
      <c r="E38" s="149"/>
      <c r="F38" s="61">
        <v>15</v>
      </c>
      <c r="G38" s="88"/>
      <c r="H38" s="90"/>
      <c r="I38" s="61">
        <v>8</v>
      </c>
      <c r="J38" s="63"/>
      <c r="K38" s="63"/>
      <c r="L38" s="63"/>
      <c r="M38" s="63"/>
      <c r="N38" s="63"/>
      <c r="O38" s="63"/>
      <c r="P38" s="63"/>
      <c r="Q38" s="63"/>
      <c r="R38" s="63"/>
    </row>
    <row r="39" spans="1:18" x14ac:dyDescent="0.25">
      <c r="A39" s="84" t="s">
        <v>272</v>
      </c>
      <c r="B39" s="83" t="s">
        <v>830</v>
      </c>
      <c r="C39" s="36" t="s">
        <v>9</v>
      </c>
      <c r="D39" s="148" t="s">
        <v>10</v>
      </c>
      <c r="E39" s="148"/>
      <c r="F39" s="63"/>
      <c r="G39" s="63"/>
      <c r="H39" s="63"/>
      <c r="I39" s="63"/>
      <c r="J39" s="63"/>
      <c r="K39" s="63"/>
      <c r="L39" s="63"/>
      <c r="M39" s="63"/>
      <c r="N39" s="63"/>
      <c r="O39" s="63"/>
      <c r="P39" s="63"/>
      <c r="Q39" s="63"/>
      <c r="R39" s="63"/>
    </row>
    <row r="40" spans="1:18" x14ac:dyDescent="0.25">
      <c r="A40" s="84"/>
      <c r="B40" s="83"/>
      <c r="C40" s="64" t="s">
        <v>0</v>
      </c>
      <c r="D40" s="95" t="s">
        <v>29</v>
      </c>
      <c r="E40" s="95"/>
      <c r="F40" s="63"/>
      <c r="G40" s="63"/>
      <c r="H40" s="63"/>
      <c r="I40" s="63"/>
      <c r="J40" s="63"/>
      <c r="K40" s="63"/>
      <c r="L40" s="63"/>
      <c r="M40" s="63"/>
      <c r="N40" s="63"/>
      <c r="O40" s="63"/>
      <c r="P40" s="63"/>
      <c r="Q40" s="63"/>
      <c r="R40" s="63"/>
    </row>
    <row r="41" spans="1:18" x14ac:dyDescent="0.25">
      <c r="A41" s="84"/>
      <c r="B41" s="63" t="s">
        <v>814</v>
      </c>
      <c r="C41" s="64"/>
      <c r="D41" s="149"/>
      <c r="E41" s="149"/>
      <c r="F41" s="63"/>
      <c r="G41" s="63"/>
      <c r="H41" s="63"/>
      <c r="I41" s="63"/>
      <c r="J41" s="63"/>
      <c r="K41" s="63"/>
      <c r="L41" s="63"/>
      <c r="M41" s="63"/>
      <c r="N41" s="63"/>
      <c r="O41" s="63"/>
      <c r="P41" s="63"/>
      <c r="Q41" s="63"/>
      <c r="R41" s="63"/>
    </row>
    <row r="44" spans="1:18" ht="18.75" x14ac:dyDescent="0.4">
      <c r="A44" s="96" t="s">
        <v>831</v>
      </c>
      <c r="B44" s="81"/>
      <c r="C44" s="81"/>
      <c r="D44" s="81"/>
      <c r="E44" s="81"/>
      <c r="F44" s="81"/>
      <c r="G44" s="81"/>
      <c r="H44" s="81"/>
      <c r="I44" s="81"/>
      <c r="J44" s="81"/>
      <c r="K44" s="81"/>
      <c r="L44" s="81"/>
      <c r="M44" s="81"/>
      <c r="N44" s="81"/>
      <c r="O44" s="81"/>
      <c r="P44" s="81"/>
      <c r="Q44" s="81"/>
      <c r="R44" s="82"/>
    </row>
    <row r="45" spans="1:18" ht="18.75" x14ac:dyDescent="0.25">
      <c r="A45" s="62" t="s">
        <v>177</v>
      </c>
      <c r="B45" s="62" t="s">
        <v>42</v>
      </c>
      <c r="C45" s="62" t="s">
        <v>31</v>
      </c>
      <c r="D45" s="62" t="s">
        <v>32</v>
      </c>
      <c r="E45" s="62" t="s">
        <v>179</v>
      </c>
      <c r="F45" s="62" t="s">
        <v>33</v>
      </c>
      <c r="G45" s="62" t="s">
        <v>832</v>
      </c>
      <c r="H45" s="62" t="s">
        <v>35</v>
      </c>
      <c r="I45" s="62" t="s">
        <v>182</v>
      </c>
      <c r="J45" s="62" t="s">
        <v>183</v>
      </c>
      <c r="K45" s="62" t="s">
        <v>184</v>
      </c>
      <c r="L45" s="62" t="s">
        <v>36</v>
      </c>
      <c r="M45" s="62" t="s">
        <v>37</v>
      </c>
      <c r="N45" s="62" t="s">
        <v>38</v>
      </c>
      <c r="O45" s="62" t="s">
        <v>39</v>
      </c>
      <c r="P45" s="62" t="s">
        <v>40</v>
      </c>
      <c r="Q45" s="62" t="s">
        <v>41</v>
      </c>
      <c r="R45" s="62" t="s">
        <v>833</v>
      </c>
    </row>
    <row r="46" spans="1:18" x14ac:dyDescent="0.25">
      <c r="A46" s="84" t="s">
        <v>31</v>
      </c>
      <c r="B46" s="91" t="s">
        <v>834</v>
      </c>
      <c r="C46" s="36" t="s">
        <v>9</v>
      </c>
      <c r="D46" s="36" t="s">
        <v>835</v>
      </c>
      <c r="E46" s="36" t="s">
        <v>13</v>
      </c>
      <c r="F46" s="36" t="s">
        <v>25</v>
      </c>
      <c r="G46" s="36" t="s">
        <v>14</v>
      </c>
      <c r="H46" s="36" t="s">
        <v>26</v>
      </c>
      <c r="I46" s="36" t="s">
        <v>195</v>
      </c>
      <c r="J46" s="36" t="s">
        <v>15</v>
      </c>
      <c r="K46" s="36" t="s">
        <v>836</v>
      </c>
      <c r="L46" s="36" t="s">
        <v>16</v>
      </c>
      <c r="M46" s="36" t="s">
        <v>838</v>
      </c>
      <c r="N46" s="36" t="s">
        <v>839</v>
      </c>
      <c r="O46" s="36" t="s">
        <v>553</v>
      </c>
      <c r="P46" s="36" t="s">
        <v>554</v>
      </c>
      <c r="Q46" s="36" t="s">
        <v>555</v>
      </c>
      <c r="R46" s="36" t="s">
        <v>556</v>
      </c>
    </row>
    <row r="47" spans="1:18" x14ac:dyDescent="0.25">
      <c r="A47" s="84"/>
      <c r="B47" s="92"/>
      <c r="C47" s="151"/>
      <c r="D47" s="152" t="s">
        <v>403</v>
      </c>
      <c r="E47" s="152" t="s">
        <v>403</v>
      </c>
      <c r="F47" s="152" t="s">
        <v>403</v>
      </c>
      <c r="G47" s="152" t="s">
        <v>403</v>
      </c>
      <c r="H47" s="152" t="s">
        <v>403</v>
      </c>
      <c r="I47" s="152" t="s">
        <v>403</v>
      </c>
      <c r="J47" s="152" t="s">
        <v>403</v>
      </c>
      <c r="K47" s="152" t="s">
        <v>403</v>
      </c>
      <c r="L47" s="152" t="s">
        <v>403</v>
      </c>
      <c r="M47" s="152" t="s">
        <v>403</v>
      </c>
      <c r="N47" s="152" t="s">
        <v>403</v>
      </c>
      <c r="O47" s="152" t="s">
        <v>403</v>
      </c>
      <c r="P47" s="152" t="s">
        <v>403</v>
      </c>
      <c r="Q47" s="152" t="s">
        <v>403</v>
      </c>
      <c r="R47" s="153" t="s">
        <v>403</v>
      </c>
    </row>
    <row r="48" spans="1:18" x14ac:dyDescent="0.25">
      <c r="A48" s="84"/>
      <c r="B48" s="79"/>
      <c r="C48" s="154"/>
      <c r="D48" s="155"/>
      <c r="E48" s="155"/>
      <c r="F48" s="155"/>
      <c r="G48" s="155"/>
      <c r="H48" s="155"/>
      <c r="I48" s="155"/>
      <c r="J48" s="155"/>
      <c r="K48" s="155"/>
      <c r="L48" s="155"/>
      <c r="M48" s="155"/>
      <c r="N48" s="155"/>
      <c r="O48" s="155"/>
      <c r="P48" s="155"/>
      <c r="Q48" s="155"/>
      <c r="R48" s="156"/>
    </row>
    <row r="49" spans="1:18" x14ac:dyDescent="0.25">
      <c r="A49" s="84" t="s">
        <v>43</v>
      </c>
      <c r="B49" s="79"/>
      <c r="C49" s="36" t="s">
        <v>9</v>
      </c>
      <c r="D49" s="36" t="s">
        <v>24</v>
      </c>
      <c r="E49" s="36" t="s">
        <v>13</v>
      </c>
      <c r="F49" s="36" t="s">
        <v>25</v>
      </c>
      <c r="G49" s="36" t="s">
        <v>14</v>
      </c>
      <c r="H49" s="36" t="s">
        <v>26</v>
      </c>
      <c r="I49" s="36" t="s">
        <v>195</v>
      </c>
      <c r="J49" s="36" t="s">
        <v>15</v>
      </c>
      <c r="K49" s="36" t="s">
        <v>836</v>
      </c>
      <c r="L49" s="36" t="s">
        <v>16</v>
      </c>
      <c r="M49" s="36" t="s">
        <v>837</v>
      </c>
      <c r="N49" s="36" t="s">
        <v>839</v>
      </c>
      <c r="O49" s="36" t="s">
        <v>553</v>
      </c>
      <c r="P49" s="36" t="s">
        <v>554</v>
      </c>
      <c r="Q49" s="36" t="s">
        <v>555</v>
      </c>
      <c r="R49" s="36" t="s">
        <v>556</v>
      </c>
    </row>
    <row r="50" spans="1:18" x14ac:dyDescent="0.25">
      <c r="A50" s="84"/>
      <c r="B50" s="79"/>
      <c r="C50" s="151"/>
      <c r="D50" s="152"/>
      <c r="E50" s="152"/>
      <c r="F50" s="152"/>
      <c r="G50" s="152"/>
      <c r="H50" s="152"/>
      <c r="I50" s="152"/>
      <c r="J50" s="152"/>
      <c r="K50" s="152"/>
      <c r="L50" s="152"/>
      <c r="M50" s="152"/>
      <c r="N50" s="152"/>
      <c r="O50" s="152"/>
      <c r="P50" s="152"/>
      <c r="Q50" s="152"/>
      <c r="R50" s="153"/>
    </row>
    <row r="51" spans="1:18" x14ac:dyDescent="0.25">
      <c r="A51" s="84"/>
      <c r="B51" s="79"/>
      <c r="C51" s="154"/>
      <c r="D51" s="155"/>
      <c r="E51" s="155"/>
      <c r="F51" s="155"/>
      <c r="G51" s="155"/>
      <c r="H51" s="155"/>
      <c r="I51" s="155"/>
      <c r="J51" s="155"/>
      <c r="K51" s="155"/>
      <c r="L51" s="155"/>
      <c r="M51" s="155"/>
      <c r="N51" s="155"/>
      <c r="O51" s="155"/>
      <c r="P51" s="155"/>
      <c r="Q51" s="155"/>
      <c r="R51" s="156"/>
    </row>
    <row r="52" spans="1:18" x14ac:dyDescent="0.25">
      <c r="A52" s="84" t="s">
        <v>840</v>
      </c>
      <c r="B52" s="79"/>
      <c r="C52" s="36" t="s">
        <v>9</v>
      </c>
      <c r="D52" s="36" t="s">
        <v>835</v>
      </c>
      <c r="E52" s="36" t="s">
        <v>13</v>
      </c>
      <c r="F52" s="36" t="s">
        <v>812</v>
      </c>
      <c r="G52" s="36" t="s">
        <v>14</v>
      </c>
      <c r="H52" s="36" t="s">
        <v>26</v>
      </c>
      <c r="I52" s="36" t="s">
        <v>195</v>
      </c>
      <c r="J52" s="36" t="s">
        <v>841</v>
      </c>
      <c r="K52" s="36" t="s">
        <v>836</v>
      </c>
      <c r="L52" s="36" t="s">
        <v>16</v>
      </c>
      <c r="M52" s="36" t="s">
        <v>837</v>
      </c>
      <c r="N52" s="36" t="s">
        <v>839</v>
      </c>
      <c r="O52" s="36" t="s">
        <v>553</v>
      </c>
      <c r="P52" s="36" t="s">
        <v>554</v>
      </c>
      <c r="Q52" s="36" t="s">
        <v>555</v>
      </c>
      <c r="R52" s="36" t="s">
        <v>842</v>
      </c>
    </row>
    <row r="53" spans="1:18" x14ac:dyDescent="0.25">
      <c r="A53" s="84"/>
      <c r="B53" s="79"/>
      <c r="C53" s="151"/>
      <c r="D53" s="152"/>
      <c r="E53" s="152"/>
      <c r="F53" s="152"/>
      <c r="G53" s="152"/>
      <c r="H53" s="152"/>
      <c r="I53" s="152"/>
      <c r="J53" s="152"/>
      <c r="K53" s="152"/>
      <c r="L53" s="152"/>
      <c r="M53" s="152"/>
      <c r="N53" s="152"/>
      <c r="O53" s="152"/>
      <c r="P53" s="152"/>
      <c r="Q53" s="152"/>
      <c r="R53" s="153"/>
    </row>
    <row r="54" spans="1:18" x14ac:dyDescent="0.25">
      <c r="A54" s="84"/>
      <c r="B54" s="79"/>
      <c r="C54" s="154"/>
      <c r="D54" s="155"/>
      <c r="E54" s="155"/>
      <c r="F54" s="155"/>
      <c r="G54" s="155"/>
      <c r="H54" s="155"/>
      <c r="I54" s="155"/>
      <c r="J54" s="155"/>
      <c r="K54" s="155"/>
      <c r="L54" s="155"/>
      <c r="M54" s="155"/>
      <c r="N54" s="155"/>
      <c r="O54" s="155"/>
      <c r="P54" s="155"/>
      <c r="Q54" s="155"/>
      <c r="R54" s="156"/>
    </row>
    <row r="55" spans="1:18" x14ac:dyDescent="0.25">
      <c r="A55" s="84" t="s">
        <v>843</v>
      </c>
      <c r="B55" s="79"/>
      <c r="C55" s="36" t="s">
        <v>9</v>
      </c>
      <c r="D55" s="36" t="s">
        <v>24</v>
      </c>
      <c r="E55" s="36" t="s">
        <v>13</v>
      </c>
      <c r="F55" s="36" t="s">
        <v>25</v>
      </c>
      <c r="G55" s="36" t="s">
        <v>813</v>
      </c>
      <c r="H55" s="36" t="s">
        <v>26</v>
      </c>
      <c r="I55" s="36" t="s">
        <v>844</v>
      </c>
      <c r="J55" s="36" t="s">
        <v>841</v>
      </c>
      <c r="K55" s="36" t="s">
        <v>836</v>
      </c>
      <c r="L55" s="36" t="s">
        <v>845</v>
      </c>
      <c r="M55" s="36" t="s">
        <v>837</v>
      </c>
      <c r="N55" s="36" t="s">
        <v>49</v>
      </c>
      <c r="O55" s="36" t="s">
        <v>553</v>
      </c>
      <c r="P55" s="36" t="s">
        <v>554</v>
      </c>
      <c r="Q55" s="36" t="s">
        <v>555</v>
      </c>
      <c r="R55" s="36" t="s">
        <v>556</v>
      </c>
    </row>
    <row r="56" spans="1:18" x14ac:dyDescent="0.25">
      <c r="A56" s="84"/>
      <c r="B56" s="79"/>
      <c r="C56" s="151"/>
      <c r="D56" s="152"/>
      <c r="E56" s="152"/>
      <c r="F56" s="152"/>
      <c r="G56" s="152"/>
      <c r="H56" s="152"/>
      <c r="I56" s="152"/>
      <c r="J56" s="152"/>
      <c r="K56" s="152"/>
      <c r="L56" s="152"/>
      <c r="M56" s="152"/>
      <c r="N56" s="152"/>
      <c r="O56" s="152"/>
      <c r="P56" s="152"/>
      <c r="Q56" s="152"/>
      <c r="R56" s="153"/>
    </row>
    <row r="57" spans="1:18" x14ac:dyDescent="0.25">
      <c r="A57" s="84"/>
      <c r="B57" s="75"/>
      <c r="C57" s="154"/>
      <c r="D57" s="155"/>
      <c r="E57" s="155"/>
      <c r="F57" s="155"/>
      <c r="G57" s="155"/>
      <c r="H57" s="155"/>
      <c r="I57" s="155"/>
      <c r="J57" s="155"/>
      <c r="K57" s="155"/>
      <c r="L57" s="155"/>
      <c r="M57" s="155"/>
      <c r="N57" s="155"/>
      <c r="O57" s="155"/>
      <c r="P57" s="155"/>
      <c r="Q57" s="155"/>
      <c r="R57" s="156"/>
    </row>
    <row r="59" spans="1:18" ht="18.75" x14ac:dyDescent="0.4">
      <c r="A59" s="96" t="s">
        <v>846</v>
      </c>
      <c r="B59" s="81"/>
      <c r="C59" s="81"/>
      <c r="D59" s="81"/>
      <c r="E59" s="81"/>
      <c r="F59" s="81"/>
      <c r="G59" s="81"/>
      <c r="H59" s="81"/>
      <c r="I59" s="81"/>
      <c r="J59" s="81"/>
      <c r="K59" s="81"/>
      <c r="L59" s="81"/>
      <c r="M59" s="81"/>
      <c r="N59" s="81"/>
      <c r="O59" s="81"/>
      <c r="P59" s="81"/>
      <c r="Q59" s="81"/>
      <c r="R59" s="82"/>
    </row>
    <row r="60" spans="1:18" ht="18.75" x14ac:dyDescent="0.25">
      <c r="A60" s="62" t="s">
        <v>177</v>
      </c>
      <c r="B60" s="62" t="s">
        <v>42</v>
      </c>
      <c r="C60" s="62" t="s">
        <v>31</v>
      </c>
      <c r="D60" s="62" t="s">
        <v>32</v>
      </c>
      <c r="E60" s="62" t="s">
        <v>179</v>
      </c>
      <c r="F60" s="62" t="s">
        <v>33</v>
      </c>
      <c r="G60" s="62" t="s">
        <v>832</v>
      </c>
      <c r="H60" s="62" t="s">
        <v>35</v>
      </c>
      <c r="I60" s="62" t="s">
        <v>847</v>
      </c>
      <c r="J60" s="62" t="s">
        <v>183</v>
      </c>
      <c r="K60" s="62" t="s">
        <v>184</v>
      </c>
      <c r="L60" s="62" t="s">
        <v>848</v>
      </c>
      <c r="M60" s="62" t="s">
        <v>37</v>
      </c>
      <c r="N60" s="62" t="s">
        <v>38</v>
      </c>
      <c r="O60" s="62" t="s">
        <v>39</v>
      </c>
      <c r="P60" s="62" t="s">
        <v>40</v>
      </c>
      <c r="Q60" s="62" t="s">
        <v>41</v>
      </c>
      <c r="R60" s="62" t="s">
        <v>188</v>
      </c>
    </row>
    <row r="61" spans="1:18" x14ac:dyDescent="0.25">
      <c r="A61" s="84" t="s">
        <v>31</v>
      </c>
      <c r="B61" s="91" t="s">
        <v>849</v>
      </c>
      <c r="C61" s="36" t="s">
        <v>809</v>
      </c>
      <c r="D61" s="36" t="s">
        <v>835</v>
      </c>
      <c r="E61" s="36" t="s">
        <v>13</v>
      </c>
      <c r="F61" s="36" t="s">
        <v>25</v>
      </c>
      <c r="G61" s="36" t="s">
        <v>14</v>
      </c>
      <c r="H61" s="36" t="s">
        <v>26</v>
      </c>
      <c r="I61" s="36" t="s">
        <v>195</v>
      </c>
      <c r="J61" s="36" t="s">
        <v>15</v>
      </c>
      <c r="K61" s="36" t="s">
        <v>850</v>
      </c>
      <c r="L61" s="36" t="s">
        <v>16</v>
      </c>
      <c r="M61" s="36" t="s">
        <v>838</v>
      </c>
      <c r="N61" s="36" t="s">
        <v>49</v>
      </c>
      <c r="O61" s="36" t="s">
        <v>553</v>
      </c>
      <c r="P61" s="36" t="s">
        <v>554</v>
      </c>
      <c r="Q61" s="36" t="s">
        <v>555</v>
      </c>
      <c r="R61" s="36" t="s">
        <v>556</v>
      </c>
    </row>
    <row r="62" spans="1:18" x14ac:dyDescent="0.25">
      <c r="A62" s="84"/>
      <c r="B62" s="92"/>
      <c r="C62" s="67" t="s">
        <v>406</v>
      </c>
      <c r="D62" s="157" t="s">
        <v>406</v>
      </c>
      <c r="E62" s="151" t="s">
        <v>851</v>
      </c>
      <c r="F62" s="152"/>
      <c r="G62" s="152"/>
      <c r="H62" s="152"/>
      <c r="I62" s="152"/>
      <c r="J62" s="153"/>
      <c r="K62" s="157" t="s">
        <v>852</v>
      </c>
      <c r="L62" s="158"/>
      <c r="M62" s="158"/>
      <c r="N62" s="158"/>
      <c r="O62" s="158"/>
      <c r="P62" s="158"/>
      <c r="Q62" s="158"/>
      <c r="R62" s="158"/>
    </row>
    <row r="63" spans="1:18" x14ac:dyDescent="0.25">
      <c r="A63" s="84"/>
      <c r="B63" s="75"/>
      <c r="C63" s="75"/>
      <c r="D63" s="75"/>
      <c r="E63" s="154"/>
      <c r="F63" s="155"/>
      <c r="G63" s="155"/>
      <c r="H63" s="155"/>
      <c r="I63" s="155"/>
      <c r="J63" s="156"/>
      <c r="K63" s="75"/>
      <c r="L63" s="75"/>
      <c r="M63" s="75"/>
      <c r="N63" s="75"/>
      <c r="O63" s="75"/>
      <c r="P63" s="75"/>
      <c r="Q63" s="75"/>
      <c r="R63" s="75"/>
    </row>
    <row r="64" spans="1:18" ht="15.75" customHeight="1" x14ac:dyDescent="0.25">
      <c r="A64" s="84" t="s">
        <v>32</v>
      </c>
      <c r="B64" s="91" t="s">
        <v>853</v>
      </c>
      <c r="C64" s="36" t="s">
        <v>809</v>
      </c>
      <c r="D64" s="36" t="s">
        <v>24</v>
      </c>
      <c r="E64" s="36" t="s">
        <v>13</v>
      </c>
      <c r="F64" s="36" t="s">
        <v>25</v>
      </c>
      <c r="G64" s="36" t="s">
        <v>14</v>
      </c>
      <c r="H64" s="36" t="s">
        <v>810</v>
      </c>
      <c r="I64" s="36" t="s">
        <v>195</v>
      </c>
      <c r="J64" s="36" t="s">
        <v>15</v>
      </c>
      <c r="K64" s="36" t="s">
        <v>836</v>
      </c>
      <c r="L64" s="36" t="s">
        <v>16</v>
      </c>
      <c r="M64" s="36" t="s">
        <v>837</v>
      </c>
      <c r="N64" s="36" t="s">
        <v>49</v>
      </c>
      <c r="O64" s="36" t="s">
        <v>553</v>
      </c>
      <c r="P64" s="36" t="s">
        <v>554</v>
      </c>
      <c r="Q64" s="36" t="s">
        <v>555</v>
      </c>
      <c r="R64" s="36" t="s">
        <v>842</v>
      </c>
    </row>
    <row r="65" spans="1:18" ht="15.75" customHeight="1" x14ac:dyDescent="0.25">
      <c r="A65" s="84"/>
      <c r="B65" s="92"/>
      <c r="C65" s="151" t="s">
        <v>854</v>
      </c>
      <c r="D65" s="152"/>
      <c r="E65" s="152"/>
      <c r="F65" s="152"/>
      <c r="G65" s="152"/>
      <c r="H65" s="152"/>
      <c r="I65" s="152"/>
      <c r="J65" s="152"/>
      <c r="K65" s="152"/>
      <c r="L65" s="152"/>
      <c r="M65" s="152"/>
      <c r="N65" s="152"/>
      <c r="O65" s="152"/>
      <c r="P65" s="152"/>
      <c r="Q65" s="152"/>
      <c r="R65" s="153"/>
    </row>
    <row r="66" spans="1:18" ht="15.75" customHeight="1" x14ac:dyDescent="0.25">
      <c r="A66" s="84"/>
      <c r="B66" s="75"/>
      <c r="C66" s="154"/>
      <c r="D66" s="155"/>
      <c r="E66" s="155"/>
      <c r="F66" s="155"/>
      <c r="G66" s="155"/>
      <c r="H66" s="155"/>
      <c r="I66" s="155"/>
      <c r="J66" s="155"/>
      <c r="K66" s="155"/>
      <c r="L66" s="155"/>
      <c r="M66" s="155"/>
      <c r="N66" s="155"/>
      <c r="O66" s="155"/>
      <c r="P66" s="155"/>
      <c r="Q66" s="155"/>
      <c r="R66" s="156"/>
    </row>
    <row r="67" spans="1:18" ht="15.75" customHeight="1" x14ac:dyDescent="0.25"/>
    <row r="68" spans="1:18" ht="15.75" customHeight="1" x14ac:dyDescent="0.25">
      <c r="B68" s="70" t="s">
        <v>855</v>
      </c>
      <c r="C68" s="71" t="s">
        <v>856</v>
      </c>
      <c r="D68" s="73"/>
      <c r="E68" s="73"/>
      <c r="F68" s="73"/>
      <c r="G68" s="73"/>
      <c r="H68" s="73"/>
      <c r="I68" s="73"/>
      <c r="J68" s="73"/>
      <c r="K68" s="73"/>
      <c r="L68" s="73"/>
      <c r="M68" s="73"/>
      <c r="N68" s="73"/>
      <c r="O68" s="73"/>
      <c r="P68" s="73"/>
      <c r="Q68" s="72"/>
    </row>
    <row r="69" spans="1:18" ht="15.75" customHeight="1" x14ac:dyDescent="0.25">
      <c r="B69" s="159"/>
      <c r="C69" s="71" t="s">
        <v>857</v>
      </c>
      <c r="D69" s="73"/>
      <c r="E69" s="73"/>
      <c r="F69" s="73"/>
      <c r="G69" s="73"/>
      <c r="H69" s="73"/>
      <c r="I69" s="73"/>
      <c r="J69" s="73"/>
      <c r="K69" s="73"/>
      <c r="L69" s="73"/>
      <c r="M69" s="73"/>
      <c r="N69" s="73"/>
      <c r="O69" s="73"/>
      <c r="P69" s="73"/>
      <c r="Q69" s="72"/>
    </row>
    <row r="70" spans="1:18" ht="15.75" customHeight="1" x14ac:dyDescent="0.25">
      <c r="B70" s="159"/>
      <c r="C70" s="71" t="s">
        <v>858</v>
      </c>
      <c r="D70" s="73"/>
      <c r="E70" s="73"/>
      <c r="F70" s="73"/>
      <c r="G70" s="73"/>
      <c r="H70" s="73"/>
      <c r="I70" s="73"/>
      <c r="J70" s="73"/>
      <c r="K70" s="73"/>
      <c r="L70" s="73"/>
      <c r="M70" s="73"/>
      <c r="N70" s="73"/>
      <c r="O70" s="73"/>
      <c r="P70" s="73"/>
      <c r="Q70" s="72"/>
    </row>
    <row r="71" spans="1:18" ht="15.75" customHeight="1" x14ac:dyDescent="0.25">
      <c r="B71" s="160"/>
      <c r="C71" s="71"/>
      <c r="D71" s="73"/>
      <c r="E71" s="73"/>
      <c r="F71" s="73"/>
      <c r="G71" s="73"/>
      <c r="H71" s="73"/>
      <c r="I71" s="73"/>
      <c r="J71" s="73"/>
      <c r="K71" s="73"/>
      <c r="L71" s="73"/>
      <c r="M71" s="73"/>
      <c r="N71" s="73"/>
      <c r="O71" s="73"/>
      <c r="P71" s="73"/>
      <c r="Q71" s="72"/>
    </row>
    <row r="72" spans="1:18" ht="15.75" customHeight="1" x14ac:dyDescent="0.25">
      <c r="B72" s="70" t="s">
        <v>859</v>
      </c>
      <c r="C72" s="71" t="s">
        <v>860</v>
      </c>
      <c r="D72" s="73"/>
      <c r="E72" s="73"/>
      <c r="F72" s="73"/>
      <c r="G72" s="73"/>
      <c r="H72" s="73"/>
      <c r="I72" s="73"/>
      <c r="J72" s="73"/>
      <c r="K72" s="73"/>
      <c r="L72" s="73"/>
      <c r="M72" s="73"/>
      <c r="N72" s="73"/>
      <c r="O72" s="73"/>
      <c r="P72" s="73"/>
      <c r="Q72" s="72"/>
    </row>
    <row r="73" spans="1:18" ht="15.75" customHeight="1" x14ac:dyDescent="0.25">
      <c r="B73" s="159"/>
      <c r="C73" s="71"/>
      <c r="D73" s="73"/>
      <c r="E73" s="73"/>
      <c r="F73" s="73"/>
      <c r="G73" s="73"/>
      <c r="H73" s="73"/>
      <c r="I73" s="73"/>
      <c r="J73" s="73"/>
      <c r="K73" s="73"/>
      <c r="L73" s="73"/>
      <c r="M73" s="73"/>
      <c r="N73" s="73"/>
      <c r="O73" s="73"/>
      <c r="P73" s="73"/>
      <c r="Q73" s="72"/>
    </row>
    <row r="74" spans="1:18" ht="15.75" customHeight="1" x14ac:dyDescent="0.25">
      <c r="B74" s="159"/>
      <c r="C74" s="71"/>
      <c r="D74" s="73"/>
      <c r="E74" s="73"/>
      <c r="F74" s="73"/>
      <c r="G74" s="73"/>
      <c r="H74" s="73"/>
      <c r="I74" s="73"/>
      <c r="J74" s="73"/>
      <c r="K74" s="73"/>
      <c r="L74" s="73"/>
      <c r="M74" s="73"/>
      <c r="N74" s="73"/>
      <c r="O74" s="73"/>
      <c r="P74" s="73"/>
      <c r="Q74" s="72"/>
    </row>
    <row r="75" spans="1:18" ht="15.75" customHeight="1" x14ac:dyDescent="0.25">
      <c r="B75" s="160"/>
      <c r="C75" s="71"/>
      <c r="D75" s="73"/>
      <c r="E75" s="73"/>
      <c r="F75" s="73"/>
      <c r="G75" s="73"/>
      <c r="H75" s="73"/>
      <c r="I75" s="73"/>
      <c r="J75" s="73"/>
      <c r="K75" s="73"/>
      <c r="L75" s="73"/>
      <c r="M75" s="73"/>
      <c r="N75" s="73"/>
      <c r="O75" s="73"/>
      <c r="P75" s="73"/>
      <c r="Q75" s="72"/>
    </row>
  </sheetData>
  <mergeCells count="140">
    <mergeCell ref="B72:B75"/>
    <mergeCell ref="C72:Q72"/>
    <mergeCell ref="C73:Q73"/>
    <mergeCell ref="C74:Q74"/>
    <mergeCell ref="C75:Q75"/>
    <mergeCell ref="A64:A66"/>
    <mergeCell ref="B64:B66"/>
    <mergeCell ref="C65:R66"/>
    <mergeCell ref="B68:B71"/>
    <mergeCell ref="C68:Q68"/>
    <mergeCell ref="C69:Q69"/>
    <mergeCell ref="C70:Q70"/>
    <mergeCell ref="C71:Q71"/>
    <mergeCell ref="A59:R59"/>
    <mergeCell ref="A61:A63"/>
    <mergeCell ref="B61:B63"/>
    <mergeCell ref="C62:C63"/>
    <mergeCell ref="D62:D63"/>
    <mergeCell ref="E62:J63"/>
    <mergeCell ref="K62:R63"/>
    <mergeCell ref="A46:A48"/>
    <mergeCell ref="B46:B57"/>
    <mergeCell ref="C47:R48"/>
    <mergeCell ref="A49:A51"/>
    <mergeCell ref="C50:R51"/>
    <mergeCell ref="A52:A54"/>
    <mergeCell ref="C53:R54"/>
    <mergeCell ref="A55:A57"/>
    <mergeCell ref="C56:R57"/>
    <mergeCell ref="A39:A41"/>
    <mergeCell ref="B39:B40"/>
    <mergeCell ref="D39:E39"/>
    <mergeCell ref="D40:E40"/>
    <mergeCell ref="D41:E41"/>
    <mergeCell ref="A44:R44"/>
    <mergeCell ref="A36:A38"/>
    <mergeCell ref="B36:B37"/>
    <mergeCell ref="D36:E36"/>
    <mergeCell ref="G36:H36"/>
    <mergeCell ref="D37:E37"/>
    <mergeCell ref="G37:H37"/>
    <mergeCell ref="D38:E38"/>
    <mergeCell ref="G38:H38"/>
    <mergeCell ref="A30:A32"/>
    <mergeCell ref="B30:B31"/>
    <mergeCell ref="D30:E30"/>
    <mergeCell ref="D31:E31"/>
    <mergeCell ref="D32:E32"/>
    <mergeCell ref="A33:A35"/>
    <mergeCell ref="B33:B34"/>
    <mergeCell ref="D33:E33"/>
    <mergeCell ref="D34:E34"/>
    <mergeCell ref="D35:E35"/>
    <mergeCell ref="D29:E29"/>
    <mergeCell ref="F29:G29"/>
    <mergeCell ref="H29:I29"/>
    <mergeCell ref="J29:K29"/>
    <mergeCell ref="L29:M29"/>
    <mergeCell ref="N29:O29"/>
    <mergeCell ref="D28:E28"/>
    <mergeCell ref="F28:G28"/>
    <mergeCell ref="H28:I28"/>
    <mergeCell ref="J28:K28"/>
    <mergeCell ref="L28:M28"/>
    <mergeCell ref="N28:O28"/>
    <mergeCell ref="L26:M26"/>
    <mergeCell ref="N26:O26"/>
    <mergeCell ref="A27:A29"/>
    <mergeCell ref="B27:B28"/>
    <mergeCell ref="D27:E27"/>
    <mergeCell ref="F27:G27"/>
    <mergeCell ref="H27:I27"/>
    <mergeCell ref="J27:K27"/>
    <mergeCell ref="L27:M27"/>
    <mergeCell ref="N27:O27"/>
    <mergeCell ref="L24:M24"/>
    <mergeCell ref="N24:O24"/>
    <mergeCell ref="D25:E25"/>
    <mergeCell ref="F25:G25"/>
    <mergeCell ref="H25:I25"/>
    <mergeCell ref="J25:K25"/>
    <mergeCell ref="L25:M25"/>
    <mergeCell ref="N25:O25"/>
    <mergeCell ref="A24:A26"/>
    <mergeCell ref="B24:B25"/>
    <mergeCell ref="D24:E24"/>
    <mergeCell ref="F24:G24"/>
    <mergeCell ref="H24:I24"/>
    <mergeCell ref="J24:K24"/>
    <mergeCell ref="D26:E26"/>
    <mergeCell ref="F26:G26"/>
    <mergeCell ref="H26:I26"/>
    <mergeCell ref="J26:K26"/>
    <mergeCell ref="A21:A23"/>
    <mergeCell ref="B21:B22"/>
    <mergeCell ref="D21:E21"/>
    <mergeCell ref="G21:H21"/>
    <mergeCell ref="D22:E22"/>
    <mergeCell ref="G22:H22"/>
    <mergeCell ref="D23:E23"/>
    <mergeCell ref="G23:H23"/>
    <mergeCell ref="A18:A20"/>
    <mergeCell ref="B18:B19"/>
    <mergeCell ref="D18:E18"/>
    <mergeCell ref="G18:H18"/>
    <mergeCell ref="D19:E19"/>
    <mergeCell ref="G19:H19"/>
    <mergeCell ref="D20:E20"/>
    <mergeCell ref="G20:H20"/>
    <mergeCell ref="A15:A17"/>
    <mergeCell ref="B15:B16"/>
    <mergeCell ref="D15:E15"/>
    <mergeCell ref="G15:H15"/>
    <mergeCell ref="D16:E16"/>
    <mergeCell ref="G16:H16"/>
    <mergeCell ref="D17:E17"/>
    <mergeCell ref="G17:H17"/>
    <mergeCell ref="A12:A14"/>
    <mergeCell ref="B12:B13"/>
    <mergeCell ref="D12:E12"/>
    <mergeCell ref="G12:H12"/>
    <mergeCell ref="D13:E13"/>
    <mergeCell ref="G13:H13"/>
    <mergeCell ref="D14:E14"/>
    <mergeCell ref="G14:H14"/>
    <mergeCell ref="A9:A11"/>
    <mergeCell ref="B9:B10"/>
    <mergeCell ref="D9:E9"/>
    <mergeCell ref="G9:H9"/>
    <mergeCell ref="D10:E10"/>
    <mergeCell ref="G10:H10"/>
    <mergeCell ref="D11:E11"/>
    <mergeCell ref="G11:H11"/>
    <mergeCell ref="A1:R1"/>
    <mergeCell ref="A3:A5"/>
    <mergeCell ref="B3:B4"/>
    <mergeCell ref="D4:I4"/>
    <mergeCell ref="A6:A8"/>
    <mergeCell ref="B6:B7"/>
    <mergeCell ref="D7:I7"/>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0"/>
  <sheetViews>
    <sheetView workbookViewId="0">
      <selection activeCell="J37" sqref="J37"/>
    </sheetView>
  </sheetViews>
  <sheetFormatPr defaultRowHeight="15.75" x14ac:dyDescent="0.25"/>
  <sheetData>
    <row r="1" spans="1:26" x14ac:dyDescent="0.25">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x14ac:dyDescent="0.2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x14ac:dyDescent="0.25">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x14ac:dyDescent="0.25">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x14ac:dyDescent="0.25">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x14ac:dyDescent="0.25">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x14ac:dyDescent="0.25">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x14ac:dyDescent="0.25">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7"/>
  <sheetViews>
    <sheetView tabSelected="1" topLeftCell="A22" workbookViewId="0">
      <selection activeCell="B68" sqref="B68:S71"/>
    </sheetView>
  </sheetViews>
  <sheetFormatPr defaultRowHeight="15.75" x14ac:dyDescent="0.25"/>
  <cols>
    <col min="1" max="1" width="26.42578125" customWidth="1"/>
    <col min="2" max="2" width="29" bestFit="1" customWidth="1"/>
    <col min="3" max="18" width="11.7109375" customWidth="1"/>
  </cols>
  <sheetData>
    <row r="1" spans="1:19" ht="33.75" x14ac:dyDescent="0.25">
      <c r="A1" s="124" t="s">
        <v>360</v>
      </c>
      <c r="B1" s="124"/>
      <c r="C1" s="124"/>
      <c r="D1" s="124"/>
      <c r="E1" s="124"/>
      <c r="F1" s="124"/>
      <c r="G1" s="124"/>
      <c r="H1" s="124"/>
      <c r="I1" s="124"/>
      <c r="J1" s="124"/>
      <c r="K1" s="124"/>
      <c r="L1" s="124"/>
      <c r="M1" s="124"/>
      <c r="N1" s="124"/>
      <c r="O1" s="124"/>
      <c r="P1" s="124"/>
      <c r="Q1" s="124"/>
      <c r="R1" s="124"/>
      <c r="S1" s="124"/>
    </row>
    <row r="2" spans="1:19" ht="18.75" customHeight="1" x14ac:dyDescent="0.25">
      <c r="A2" s="133" t="s">
        <v>357</v>
      </c>
      <c r="B2" s="134"/>
      <c r="C2" s="134"/>
      <c r="D2" s="134"/>
      <c r="E2" s="134"/>
      <c r="F2" s="134"/>
      <c r="G2" s="134"/>
      <c r="H2" s="134"/>
      <c r="I2" s="134"/>
      <c r="J2" s="134"/>
      <c r="K2" s="134"/>
      <c r="L2" s="134"/>
      <c r="M2" s="134"/>
      <c r="N2" s="134"/>
      <c r="O2" s="134"/>
      <c r="P2" s="134"/>
      <c r="Q2" s="134"/>
      <c r="R2" s="134"/>
      <c r="S2" s="134"/>
    </row>
    <row r="3" spans="1:19" ht="15.75" customHeight="1" x14ac:dyDescent="0.25">
      <c r="A3" s="133"/>
      <c r="B3" s="134"/>
      <c r="C3" s="134"/>
      <c r="D3" s="134"/>
      <c r="E3" s="134"/>
      <c r="F3" s="134"/>
      <c r="G3" s="134"/>
      <c r="H3" s="134"/>
      <c r="I3" s="134"/>
      <c r="J3" s="134"/>
      <c r="K3" s="134"/>
      <c r="L3" s="134"/>
      <c r="M3" s="134"/>
      <c r="N3" s="134"/>
      <c r="O3" s="134"/>
      <c r="P3" s="134"/>
      <c r="Q3" s="134"/>
      <c r="R3" s="134"/>
      <c r="S3" s="134"/>
    </row>
    <row r="4" spans="1:19" ht="15.75" customHeight="1" x14ac:dyDescent="0.25">
      <c r="A4" s="133"/>
      <c r="B4" s="134"/>
      <c r="C4" s="134"/>
      <c r="D4" s="134"/>
      <c r="E4" s="134"/>
      <c r="F4" s="134"/>
      <c r="G4" s="134"/>
      <c r="H4" s="134"/>
      <c r="I4" s="134"/>
      <c r="J4" s="134"/>
      <c r="K4" s="134"/>
      <c r="L4" s="134"/>
      <c r="M4" s="134"/>
      <c r="N4" s="134"/>
      <c r="O4" s="134"/>
      <c r="P4" s="134"/>
      <c r="Q4" s="134"/>
      <c r="R4" s="134"/>
      <c r="S4" s="134"/>
    </row>
    <row r="5" spans="1:19" ht="18" customHeight="1" x14ac:dyDescent="0.25">
      <c r="A5" s="84" t="s">
        <v>347</v>
      </c>
      <c r="B5" s="84" t="s">
        <v>341</v>
      </c>
      <c r="C5" s="135" t="s">
        <v>333</v>
      </c>
      <c r="D5" s="136"/>
      <c r="E5" s="136"/>
      <c r="F5" s="136"/>
      <c r="G5" s="136"/>
      <c r="H5" s="136"/>
      <c r="I5" s="136"/>
      <c r="J5" s="136"/>
      <c r="K5" s="136"/>
      <c r="L5" s="136"/>
      <c r="M5" s="136"/>
      <c r="N5" s="136"/>
      <c r="O5" s="136"/>
      <c r="P5" s="136"/>
      <c r="Q5" s="136"/>
      <c r="R5" s="136"/>
      <c r="S5" s="137"/>
    </row>
    <row r="6" spans="1:19" ht="18" customHeight="1" x14ac:dyDescent="0.25">
      <c r="A6" s="84"/>
      <c r="B6" s="84"/>
      <c r="C6" s="138"/>
      <c r="D6" s="139"/>
      <c r="E6" s="139"/>
      <c r="F6" s="139"/>
      <c r="G6" s="139"/>
      <c r="H6" s="139"/>
      <c r="I6" s="139"/>
      <c r="J6" s="139"/>
      <c r="K6" s="139"/>
      <c r="L6" s="139"/>
      <c r="M6" s="139"/>
      <c r="N6" s="139"/>
      <c r="O6" s="139"/>
      <c r="P6" s="139"/>
      <c r="Q6" s="139"/>
      <c r="R6" s="139"/>
      <c r="S6" s="140"/>
    </row>
    <row r="7" spans="1:19" ht="18" customHeight="1" x14ac:dyDescent="0.25">
      <c r="A7" s="84"/>
      <c r="B7" s="84"/>
      <c r="C7" s="141"/>
      <c r="D7" s="142"/>
      <c r="E7" s="142"/>
      <c r="F7" s="142"/>
      <c r="G7" s="142"/>
      <c r="H7" s="142"/>
      <c r="I7" s="142"/>
      <c r="J7" s="142"/>
      <c r="K7" s="142"/>
      <c r="L7" s="142"/>
      <c r="M7" s="142"/>
      <c r="N7" s="142"/>
      <c r="O7" s="142"/>
      <c r="P7" s="142"/>
      <c r="Q7" s="142"/>
      <c r="R7" s="142"/>
      <c r="S7" s="143"/>
    </row>
    <row r="8" spans="1:19" ht="15.75" customHeight="1" x14ac:dyDescent="0.25">
      <c r="A8" s="133" t="s">
        <v>358</v>
      </c>
      <c r="B8" s="134"/>
      <c r="C8" s="134"/>
      <c r="D8" s="134"/>
      <c r="E8" s="134"/>
      <c r="F8" s="134"/>
      <c r="G8" s="134"/>
      <c r="H8" s="134"/>
      <c r="I8" s="134"/>
      <c r="J8" s="134"/>
      <c r="K8" s="134"/>
      <c r="L8" s="134"/>
      <c r="M8" s="134"/>
      <c r="N8" s="134"/>
      <c r="O8" s="134"/>
      <c r="P8" s="134"/>
      <c r="Q8" s="134"/>
      <c r="R8" s="134"/>
      <c r="S8" s="134"/>
    </row>
    <row r="9" spans="1:19" ht="15.75" customHeight="1" x14ac:dyDescent="0.25">
      <c r="A9" s="133"/>
      <c r="B9" s="134"/>
      <c r="C9" s="134"/>
      <c r="D9" s="134"/>
      <c r="E9" s="134"/>
      <c r="F9" s="134"/>
      <c r="G9" s="134"/>
      <c r="H9" s="134"/>
      <c r="I9" s="134"/>
      <c r="J9" s="134"/>
      <c r="K9" s="134"/>
      <c r="L9" s="134"/>
      <c r="M9" s="134"/>
      <c r="N9" s="134"/>
      <c r="O9" s="134"/>
      <c r="P9" s="134"/>
      <c r="Q9" s="134"/>
      <c r="R9" s="134"/>
      <c r="S9" s="134"/>
    </row>
    <row r="10" spans="1:19" ht="15.75" customHeight="1" x14ac:dyDescent="0.25">
      <c r="A10" s="133"/>
      <c r="B10" s="134"/>
      <c r="C10" s="134"/>
      <c r="D10" s="134"/>
      <c r="E10" s="134"/>
      <c r="F10" s="134"/>
      <c r="G10" s="134"/>
      <c r="H10" s="134"/>
      <c r="I10" s="134"/>
      <c r="J10" s="134"/>
      <c r="K10" s="134"/>
      <c r="L10" s="134"/>
      <c r="M10" s="134"/>
      <c r="N10" s="134"/>
      <c r="O10" s="134"/>
      <c r="P10" s="134"/>
      <c r="Q10" s="134"/>
      <c r="R10" s="134"/>
      <c r="S10" s="134"/>
    </row>
    <row r="11" spans="1:19" ht="15.75" customHeight="1" x14ac:dyDescent="0.25">
      <c r="A11" s="84" t="s">
        <v>348</v>
      </c>
      <c r="B11" s="84" t="s">
        <v>342</v>
      </c>
      <c r="C11" s="130"/>
      <c r="D11" s="131"/>
      <c r="E11" s="131"/>
      <c r="F11" s="131"/>
      <c r="G11" s="94"/>
      <c r="H11" s="94"/>
      <c r="I11" s="94"/>
      <c r="J11" s="94"/>
      <c r="K11" s="94"/>
      <c r="L11" s="94"/>
      <c r="M11" s="94"/>
      <c r="N11" s="94"/>
      <c r="O11" s="94"/>
      <c r="P11" s="94"/>
      <c r="Q11" s="94"/>
      <c r="R11" s="94"/>
      <c r="S11" s="132"/>
    </row>
    <row r="12" spans="1:19" ht="15.75" customHeight="1" x14ac:dyDescent="0.25">
      <c r="A12" s="84"/>
      <c r="B12" s="84"/>
      <c r="C12" s="94"/>
      <c r="D12" s="94"/>
      <c r="E12" s="94"/>
      <c r="F12" s="94"/>
      <c r="G12" s="94"/>
      <c r="H12" s="94"/>
      <c r="I12" s="94"/>
      <c r="J12" s="94"/>
      <c r="K12" s="94"/>
      <c r="L12" s="94"/>
      <c r="M12" s="94"/>
      <c r="N12" s="94"/>
      <c r="O12" s="94"/>
      <c r="P12" s="94"/>
      <c r="Q12" s="94"/>
      <c r="R12" s="94"/>
      <c r="S12" s="132"/>
    </row>
    <row r="13" spans="1:19" ht="15.75" customHeight="1" x14ac:dyDescent="0.25">
      <c r="A13" s="84"/>
      <c r="B13" s="84"/>
      <c r="C13" s="94"/>
      <c r="D13" s="94"/>
      <c r="E13" s="94"/>
      <c r="F13" s="94"/>
      <c r="G13" s="94"/>
      <c r="H13" s="94"/>
      <c r="I13" s="94"/>
      <c r="J13" s="94"/>
      <c r="K13" s="94"/>
      <c r="L13" s="94"/>
      <c r="M13" s="94"/>
      <c r="N13" s="94"/>
      <c r="O13" s="94"/>
      <c r="P13" s="94"/>
      <c r="Q13" s="94"/>
      <c r="R13" s="94"/>
      <c r="S13" s="132"/>
    </row>
    <row r="14" spans="1:19" ht="15.75" customHeight="1" x14ac:dyDescent="0.25">
      <c r="A14" s="84" t="s">
        <v>349</v>
      </c>
      <c r="B14" s="84" t="s">
        <v>343</v>
      </c>
      <c r="C14" s="130"/>
      <c r="D14" s="131"/>
      <c r="E14" s="131"/>
      <c r="F14" s="131"/>
      <c r="G14" s="94"/>
      <c r="H14" s="94"/>
      <c r="I14" s="94"/>
      <c r="J14" s="94"/>
      <c r="K14" s="94"/>
      <c r="L14" s="94"/>
      <c r="M14" s="94"/>
      <c r="N14" s="94"/>
      <c r="O14" s="94"/>
      <c r="P14" s="94"/>
      <c r="Q14" s="94"/>
      <c r="R14" s="94"/>
      <c r="S14" s="132"/>
    </row>
    <row r="15" spans="1:19" ht="15.75" customHeight="1" x14ac:dyDescent="0.25">
      <c r="A15" s="84"/>
      <c r="B15" s="84"/>
      <c r="C15" s="94"/>
      <c r="D15" s="94"/>
      <c r="E15" s="94"/>
      <c r="F15" s="94"/>
      <c r="G15" s="94"/>
      <c r="H15" s="94"/>
      <c r="I15" s="94"/>
      <c r="J15" s="94"/>
      <c r="K15" s="94"/>
      <c r="L15" s="94"/>
      <c r="M15" s="94"/>
      <c r="N15" s="94"/>
      <c r="O15" s="94"/>
      <c r="P15" s="94"/>
      <c r="Q15" s="94"/>
      <c r="R15" s="94"/>
      <c r="S15" s="132"/>
    </row>
    <row r="16" spans="1:19" ht="20.25" customHeight="1" x14ac:dyDescent="0.25">
      <c r="A16" s="84"/>
      <c r="B16" s="84"/>
      <c r="C16" s="94"/>
      <c r="D16" s="94"/>
      <c r="E16" s="94"/>
      <c r="F16" s="94"/>
      <c r="G16" s="94"/>
      <c r="H16" s="94"/>
      <c r="I16" s="94"/>
      <c r="J16" s="94"/>
      <c r="K16" s="94"/>
      <c r="L16" s="94"/>
      <c r="M16" s="94"/>
      <c r="N16" s="94"/>
      <c r="O16" s="94"/>
      <c r="P16" s="94"/>
      <c r="Q16" s="94"/>
      <c r="R16" s="94"/>
      <c r="S16" s="132"/>
    </row>
    <row r="17" spans="1:19" ht="15.75" customHeight="1" x14ac:dyDescent="0.25">
      <c r="A17" s="133" t="s">
        <v>359</v>
      </c>
      <c r="B17" s="134"/>
      <c r="C17" s="134"/>
      <c r="D17" s="134"/>
      <c r="E17" s="134"/>
      <c r="F17" s="134"/>
      <c r="G17" s="134"/>
      <c r="H17" s="134"/>
      <c r="I17" s="134"/>
      <c r="J17" s="134"/>
      <c r="K17" s="134"/>
      <c r="L17" s="134"/>
      <c r="M17" s="134"/>
      <c r="N17" s="134"/>
      <c r="O17" s="134"/>
      <c r="P17" s="134"/>
      <c r="Q17" s="134"/>
      <c r="R17" s="134"/>
      <c r="S17" s="134"/>
    </row>
    <row r="18" spans="1:19" ht="15.75" customHeight="1" x14ac:dyDescent="0.25">
      <c r="A18" s="133"/>
      <c r="B18" s="134"/>
      <c r="C18" s="134"/>
      <c r="D18" s="134"/>
      <c r="E18" s="134"/>
      <c r="F18" s="134"/>
      <c r="G18" s="134"/>
      <c r="H18" s="134"/>
      <c r="I18" s="134"/>
      <c r="J18" s="134"/>
      <c r="K18" s="134"/>
      <c r="L18" s="134"/>
      <c r="M18" s="134"/>
      <c r="N18" s="134"/>
      <c r="O18" s="134"/>
      <c r="P18" s="134"/>
      <c r="Q18" s="134"/>
      <c r="R18" s="134"/>
      <c r="S18" s="134"/>
    </row>
    <row r="19" spans="1:19" ht="15.75" customHeight="1" x14ac:dyDescent="0.25">
      <c r="A19" s="133"/>
      <c r="B19" s="134"/>
      <c r="C19" s="134"/>
      <c r="D19" s="134"/>
      <c r="E19" s="134"/>
      <c r="F19" s="134"/>
      <c r="G19" s="134"/>
      <c r="H19" s="134"/>
      <c r="I19" s="134"/>
      <c r="J19" s="134"/>
      <c r="K19" s="134"/>
      <c r="L19" s="134"/>
      <c r="M19" s="134"/>
      <c r="N19" s="134"/>
      <c r="O19" s="134"/>
      <c r="P19" s="134"/>
      <c r="Q19" s="134"/>
      <c r="R19" s="134"/>
      <c r="S19" s="134"/>
    </row>
    <row r="20" spans="1:19" ht="20.100000000000001" customHeight="1" x14ac:dyDescent="0.25">
      <c r="A20" s="125" t="s">
        <v>350</v>
      </c>
      <c r="B20" s="84" t="s">
        <v>344</v>
      </c>
      <c r="C20" s="126" t="s">
        <v>332</v>
      </c>
      <c r="D20" s="127"/>
      <c r="E20" s="127"/>
      <c r="F20" s="127"/>
      <c r="G20" s="128"/>
      <c r="H20" s="128"/>
      <c r="I20" s="128"/>
      <c r="J20" s="128"/>
      <c r="K20" s="128"/>
      <c r="L20" s="128"/>
      <c r="M20" s="128"/>
      <c r="N20" s="128"/>
      <c r="O20" s="128"/>
      <c r="P20" s="128"/>
      <c r="Q20" s="128"/>
      <c r="R20" s="128"/>
      <c r="S20" s="129"/>
    </row>
    <row r="21" spans="1:19" ht="20.100000000000001" customHeight="1" x14ac:dyDescent="0.25">
      <c r="A21" s="84"/>
      <c r="B21" s="84"/>
      <c r="C21" s="128"/>
      <c r="D21" s="128"/>
      <c r="E21" s="128"/>
      <c r="F21" s="128"/>
      <c r="G21" s="128"/>
      <c r="H21" s="128"/>
      <c r="I21" s="128"/>
      <c r="J21" s="128"/>
      <c r="K21" s="128"/>
      <c r="L21" s="128"/>
      <c r="M21" s="128"/>
      <c r="N21" s="128"/>
      <c r="O21" s="128"/>
      <c r="P21" s="128"/>
      <c r="Q21" s="128"/>
      <c r="R21" s="128"/>
      <c r="S21" s="129"/>
    </row>
    <row r="22" spans="1:19" ht="20.100000000000001" customHeight="1" x14ac:dyDescent="0.25">
      <c r="A22" s="84"/>
      <c r="B22" s="84"/>
      <c r="C22" s="128"/>
      <c r="D22" s="128"/>
      <c r="E22" s="128"/>
      <c r="F22" s="128"/>
      <c r="G22" s="128"/>
      <c r="H22" s="128"/>
      <c r="I22" s="128"/>
      <c r="J22" s="128"/>
      <c r="K22" s="128"/>
      <c r="L22" s="128"/>
      <c r="M22" s="128"/>
      <c r="N22" s="128"/>
      <c r="O22" s="128"/>
      <c r="P22" s="128"/>
      <c r="Q22" s="128"/>
      <c r="R22" s="128"/>
      <c r="S22" s="129"/>
    </row>
    <row r="25" spans="1:19" ht="15.75" customHeight="1" x14ac:dyDescent="0.25"/>
    <row r="26" spans="1:19" ht="33" customHeight="1" x14ac:dyDescent="0.25">
      <c r="A26" s="124" t="s">
        <v>361</v>
      </c>
      <c r="B26" s="124"/>
      <c r="C26" s="124"/>
      <c r="D26" s="124"/>
      <c r="E26" s="124"/>
      <c r="F26" s="124"/>
      <c r="G26" s="124"/>
      <c r="H26" s="124"/>
      <c r="I26" s="124"/>
      <c r="J26" s="124"/>
      <c r="K26" s="124"/>
      <c r="L26" s="124"/>
      <c r="M26" s="124"/>
      <c r="N26" s="124"/>
      <c r="O26" s="124"/>
      <c r="P26" s="124"/>
      <c r="Q26" s="124"/>
      <c r="R26" s="124"/>
      <c r="S26" s="124"/>
    </row>
    <row r="27" spans="1:19" ht="15.75" customHeight="1" x14ac:dyDescent="0.25">
      <c r="A27" s="125" t="s">
        <v>351</v>
      </c>
      <c r="B27" s="84" t="s">
        <v>345</v>
      </c>
      <c r="C27" s="126" t="s">
        <v>336</v>
      </c>
      <c r="D27" s="127"/>
      <c r="E27" s="127"/>
      <c r="F27" s="127"/>
      <c r="G27" s="128"/>
      <c r="H27" s="128"/>
      <c r="I27" s="128"/>
      <c r="J27" s="128"/>
      <c r="K27" s="128"/>
      <c r="L27" s="128"/>
      <c r="M27" s="128"/>
      <c r="N27" s="128"/>
      <c r="O27" s="128"/>
      <c r="P27" s="128"/>
      <c r="Q27" s="128"/>
      <c r="R27" s="128"/>
      <c r="S27" s="129"/>
    </row>
    <row r="28" spans="1:19" ht="15.75" customHeight="1" x14ac:dyDescent="0.25">
      <c r="A28" s="84"/>
      <c r="B28" s="84"/>
      <c r="C28" s="128"/>
      <c r="D28" s="128"/>
      <c r="E28" s="128"/>
      <c r="F28" s="128"/>
      <c r="G28" s="128"/>
      <c r="H28" s="128"/>
      <c r="I28" s="128"/>
      <c r="J28" s="128"/>
      <c r="K28" s="128"/>
      <c r="L28" s="128"/>
      <c r="M28" s="128"/>
      <c r="N28" s="128"/>
      <c r="O28" s="128"/>
      <c r="P28" s="128"/>
      <c r="Q28" s="128"/>
      <c r="R28" s="128"/>
      <c r="S28" s="129"/>
    </row>
    <row r="29" spans="1:19" ht="15.75" customHeight="1" x14ac:dyDescent="0.25">
      <c r="A29" s="84"/>
      <c r="B29" s="84"/>
      <c r="C29" s="128"/>
      <c r="D29" s="128"/>
      <c r="E29" s="128"/>
      <c r="F29" s="128"/>
      <c r="G29" s="128"/>
      <c r="H29" s="128"/>
      <c r="I29" s="128"/>
      <c r="J29" s="128"/>
      <c r="K29" s="128"/>
      <c r="L29" s="128"/>
      <c r="M29" s="128"/>
      <c r="N29" s="128"/>
      <c r="O29" s="128"/>
      <c r="P29" s="128"/>
      <c r="Q29" s="128"/>
      <c r="R29" s="128"/>
      <c r="S29" s="129"/>
    </row>
    <row r="30" spans="1:19" ht="15.75" customHeight="1" x14ac:dyDescent="0.25">
      <c r="A30" s="125" t="s">
        <v>352</v>
      </c>
      <c r="B30" s="84" t="s">
        <v>346</v>
      </c>
      <c r="C30" s="126" t="s">
        <v>355</v>
      </c>
      <c r="D30" s="127"/>
      <c r="E30" s="127"/>
      <c r="F30" s="127"/>
      <c r="G30" s="128"/>
      <c r="H30" s="128"/>
      <c r="I30" s="128"/>
      <c r="J30" s="128"/>
      <c r="K30" s="128"/>
      <c r="L30" s="128"/>
      <c r="M30" s="128"/>
      <c r="N30" s="128"/>
      <c r="O30" s="128"/>
      <c r="P30" s="128"/>
      <c r="Q30" s="128"/>
      <c r="R30" s="128"/>
      <c r="S30" s="129"/>
    </row>
    <row r="31" spans="1:19" ht="15.75" customHeight="1" x14ac:dyDescent="0.25">
      <c r="A31" s="84"/>
      <c r="B31" s="84"/>
      <c r="C31" s="128"/>
      <c r="D31" s="128"/>
      <c r="E31" s="128"/>
      <c r="F31" s="128"/>
      <c r="G31" s="128"/>
      <c r="H31" s="128"/>
      <c r="I31" s="128"/>
      <c r="J31" s="128"/>
      <c r="K31" s="128"/>
      <c r="L31" s="128"/>
      <c r="M31" s="128"/>
      <c r="N31" s="128"/>
      <c r="O31" s="128"/>
      <c r="P31" s="128"/>
      <c r="Q31" s="128"/>
      <c r="R31" s="128"/>
      <c r="S31" s="129"/>
    </row>
    <row r="32" spans="1:19" ht="15.75" customHeight="1" x14ac:dyDescent="0.25">
      <c r="A32" s="84"/>
      <c r="B32" s="84"/>
      <c r="C32" s="128"/>
      <c r="D32" s="128"/>
      <c r="E32" s="128"/>
      <c r="F32" s="128"/>
      <c r="G32" s="128"/>
      <c r="H32" s="128"/>
      <c r="I32" s="128"/>
      <c r="J32" s="128"/>
      <c r="K32" s="128"/>
      <c r="L32" s="128"/>
      <c r="M32" s="128"/>
      <c r="N32" s="128"/>
      <c r="O32" s="128"/>
      <c r="P32" s="128"/>
      <c r="Q32" s="128"/>
      <c r="R32" s="128"/>
      <c r="S32" s="129"/>
    </row>
    <row r="33" spans="1:19" ht="15.75" customHeight="1" x14ac:dyDescent="0.25">
      <c r="A33" s="125" t="s">
        <v>353</v>
      </c>
      <c r="B33" s="84" t="s">
        <v>364</v>
      </c>
      <c r="C33" s="126" t="s">
        <v>366</v>
      </c>
      <c r="D33" s="127"/>
      <c r="E33" s="127"/>
      <c r="F33" s="127"/>
      <c r="G33" s="128"/>
      <c r="H33" s="128"/>
      <c r="I33" s="128"/>
      <c r="J33" s="128"/>
      <c r="K33" s="128"/>
      <c r="L33" s="128"/>
      <c r="M33" s="128"/>
      <c r="N33" s="128"/>
      <c r="O33" s="128"/>
      <c r="P33" s="128"/>
      <c r="Q33" s="128"/>
      <c r="R33" s="128"/>
      <c r="S33" s="129"/>
    </row>
    <row r="34" spans="1:19" ht="15.75" customHeight="1" x14ac:dyDescent="0.25">
      <c r="A34" s="84"/>
      <c r="B34" s="84"/>
      <c r="C34" s="128"/>
      <c r="D34" s="128"/>
      <c r="E34" s="128"/>
      <c r="F34" s="128"/>
      <c r="G34" s="128"/>
      <c r="H34" s="128"/>
      <c r="I34" s="128"/>
      <c r="J34" s="128"/>
      <c r="K34" s="128"/>
      <c r="L34" s="128"/>
      <c r="M34" s="128"/>
      <c r="N34" s="128"/>
      <c r="O34" s="128"/>
      <c r="P34" s="128"/>
      <c r="Q34" s="128"/>
      <c r="R34" s="128"/>
      <c r="S34" s="129"/>
    </row>
    <row r="35" spans="1:19" ht="15.75" customHeight="1" x14ac:dyDescent="0.25">
      <c r="A35" s="84"/>
      <c r="B35" s="84"/>
      <c r="C35" s="128"/>
      <c r="D35" s="128"/>
      <c r="E35" s="128"/>
      <c r="F35" s="128"/>
      <c r="G35" s="128"/>
      <c r="H35" s="128"/>
      <c r="I35" s="128"/>
      <c r="J35" s="128"/>
      <c r="K35" s="128"/>
      <c r="L35" s="128"/>
      <c r="M35" s="128"/>
      <c r="N35" s="128"/>
      <c r="O35" s="128"/>
      <c r="P35" s="128"/>
      <c r="Q35" s="128"/>
      <c r="R35" s="128"/>
      <c r="S35" s="129"/>
    </row>
    <row r="36" spans="1:19" ht="15.75" customHeight="1" x14ac:dyDescent="0.25">
      <c r="A36" s="125" t="s">
        <v>354</v>
      </c>
      <c r="B36" s="84" t="s">
        <v>365</v>
      </c>
      <c r="C36" s="126" t="s">
        <v>367</v>
      </c>
      <c r="D36" s="127"/>
      <c r="E36" s="127"/>
      <c r="F36" s="127"/>
      <c r="G36" s="128"/>
      <c r="H36" s="128"/>
      <c r="I36" s="128"/>
      <c r="J36" s="128"/>
      <c r="K36" s="128"/>
      <c r="L36" s="128"/>
      <c r="M36" s="128"/>
      <c r="N36" s="128"/>
      <c r="O36" s="128"/>
      <c r="P36" s="128"/>
      <c r="Q36" s="128"/>
      <c r="R36" s="128"/>
      <c r="S36" s="129"/>
    </row>
    <row r="37" spans="1:19" ht="15.75" customHeight="1" x14ac:dyDescent="0.25">
      <c r="A37" s="84"/>
      <c r="B37" s="84"/>
      <c r="C37" s="128"/>
      <c r="D37" s="128"/>
      <c r="E37" s="128"/>
      <c r="F37" s="128"/>
      <c r="G37" s="128"/>
      <c r="H37" s="128"/>
      <c r="I37" s="128"/>
      <c r="J37" s="128"/>
      <c r="K37" s="128"/>
      <c r="L37" s="128"/>
      <c r="M37" s="128"/>
      <c r="N37" s="128"/>
      <c r="O37" s="128"/>
      <c r="P37" s="128"/>
      <c r="Q37" s="128"/>
      <c r="R37" s="128"/>
      <c r="S37" s="129"/>
    </row>
    <row r="38" spans="1:19" ht="15.75" customHeight="1" x14ac:dyDescent="0.25">
      <c r="A38" s="84"/>
      <c r="B38" s="84"/>
      <c r="C38" s="128"/>
      <c r="D38" s="128"/>
      <c r="E38" s="128"/>
      <c r="F38" s="128"/>
      <c r="G38" s="128"/>
      <c r="H38" s="128"/>
      <c r="I38" s="128"/>
      <c r="J38" s="128"/>
      <c r="K38" s="128"/>
      <c r="L38" s="128"/>
      <c r="M38" s="128"/>
      <c r="N38" s="128"/>
      <c r="O38" s="128"/>
      <c r="P38" s="128"/>
      <c r="Q38" s="128"/>
      <c r="R38" s="128"/>
      <c r="S38" s="129"/>
    </row>
    <row r="39" spans="1:19" ht="15.75" customHeight="1" x14ac:dyDescent="0.25">
      <c r="A39" s="133" t="s">
        <v>356</v>
      </c>
      <c r="B39" s="144"/>
      <c r="C39" s="144"/>
      <c r="D39" s="144"/>
      <c r="E39" s="144"/>
      <c r="F39" s="144"/>
      <c r="G39" s="144"/>
      <c r="H39" s="144"/>
      <c r="I39" s="144"/>
      <c r="J39" s="144"/>
      <c r="K39" s="144"/>
      <c r="L39" s="144"/>
      <c r="M39" s="144"/>
      <c r="N39" s="144"/>
      <c r="O39" s="144"/>
      <c r="P39" s="144"/>
      <c r="Q39" s="144"/>
      <c r="R39" s="144"/>
      <c r="S39" s="144"/>
    </row>
    <row r="40" spans="1:19" ht="15.75" customHeight="1" x14ac:dyDescent="0.25">
      <c r="A40" s="145"/>
      <c r="B40" s="144"/>
      <c r="C40" s="144"/>
      <c r="D40" s="144"/>
      <c r="E40" s="144"/>
      <c r="F40" s="144"/>
      <c r="G40" s="144"/>
      <c r="H40" s="144"/>
      <c r="I40" s="144"/>
      <c r="J40" s="144"/>
      <c r="K40" s="144"/>
      <c r="L40" s="144"/>
      <c r="M40" s="144"/>
      <c r="N40" s="144"/>
      <c r="O40" s="144"/>
      <c r="P40" s="144"/>
      <c r="Q40" s="144"/>
      <c r="R40" s="144"/>
      <c r="S40" s="144"/>
    </row>
    <row r="41" spans="1:19" ht="15.75" customHeight="1" x14ac:dyDescent="0.25">
      <c r="A41" s="145"/>
      <c r="B41" s="144"/>
      <c r="C41" s="144"/>
      <c r="D41" s="144"/>
      <c r="E41" s="144"/>
      <c r="F41" s="144"/>
      <c r="G41" s="144"/>
      <c r="H41" s="144"/>
      <c r="I41" s="144"/>
      <c r="J41" s="144"/>
      <c r="K41" s="144"/>
      <c r="L41" s="144"/>
      <c r="M41" s="144"/>
      <c r="N41" s="144"/>
      <c r="O41" s="144"/>
      <c r="P41" s="144"/>
      <c r="Q41" s="144"/>
      <c r="R41" s="144"/>
      <c r="S41" s="144"/>
    </row>
    <row r="42" spans="1:19" ht="15.75" customHeight="1" x14ac:dyDescent="0.25"/>
    <row r="43" spans="1:19" ht="15.75" customHeight="1" x14ac:dyDescent="0.25"/>
    <row r="44" spans="1:19" ht="36.75" x14ac:dyDescent="0.25">
      <c r="A44" s="100" t="s">
        <v>329</v>
      </c>
      <c r="B44" s="101"/>
      <c r="C44" s="101"/>
      <c r="D44" s="101"/>
      <c r="E44" s="101"/>
      <c r="F44" s="101"/>
      <c r="G44" s="101"/>
      <c r="H44" s="101"/>
      <c r="I44" s="101"/>
      <c r="J44" s="101"/>
      <c r="K44" s="101"/>
      <c r="L44" s="101"/>
      <c r="M44" s="101"/>
      <c r="N44" s="101"/>
      <c r="O44" s="101"/>
      <c r="P44" s="101"/>
      <c r="Q44" s="101"/>
      <c r="R44" s="101"/>
      <c r="S44" s="102"/>
    </row>
    <row r="45" spans="1:19" ht="15.75" customHeight="1" x14ac:dyDescent="0.25">
      <c r="A45" s="35"/>
      <c r="B45" s="35"/>
      <c r="C45" s="35"/>
      <c r="D45" s="35"/>
      <c r="E45" s="35"/>
      <c r="F45" s="35"/>
      <c r="G45" s="35"/>
      <c r="H45" s="35"/>
      <c r="I45" s="35"/>
      <c r="J45" s="35"/>
      <c r="K45" s="35"/>
      <c r="L45" s="35"/>
      <c r="M45" s="35"/>
      <c r="N45" s="35"/>
      <c r="O45" s="35"/>
      <c r="P45" s="35"/>
      <c r="Q45" s="35"/>
      <c r="R45" s="35"/>
      <c r="S45" s="35"/>
    </row>
    <row r="46" spans="1:19" ht="15.75" customHeight="1" x14ac:dyDescent="0.25">
      <c r="A46" s="35"/>
      <c r="B46" s="35"/>
      <c r="C46" s="35"/>
      <c r="D46" s="35"/>
      <c r="E46" s="35"/>
      <c r="F46" s="35"/>
      <c r="G46" s="35"/>
      <c r="H46" s="35"/>
      <c r="I46" s="35"/>
      <c r="J46" s="35"/>
      <c r="K46" s="35"/>
      <c r="L46" s="35"/>
      <c r="M46" s="35"/>
      <c r="N46" s="35"/>
      <c r="O46" s="35"/>
      <c r="P46" s="35"/>
      <c r="Q46" s="35"/>
      <c r="R46" s="35"/>
      <c r="S46" s="35"/>
    </row>
    <row r="47" spans="1:19" ht="33.75" x14ac:dyDescent="0.25">
      <c r="A47" s="103" t="s">
        <v>368</v>
      </c>
      <c r="B47" s="104"/>
      <c r="C47" s="104"/>
      <c r="D47" s="104"/>
      <c r="E47" s="104"/>
      <c r="F47" s="104"/>
      <c r="G47" s="104"/>
      <c r="H47" s="104"/>
      <c r="I47" s="104"/>
      <c r="J47" s="104"/>
      <c r="K47" s="104"/>
      <c r="L47" s="104"/>
      <c r="M47" s="104"/>
      <c r="N47" s="104"/>
      <c r="O47" s="104"/>
      <c r="P47" s="104"/>
      <c r="Q47" s="104"/>
      <c r="R47" s="104"/>
      <c r="S47" s="105"/>
    </row>
    <row r="48" spans="1:19" ht="20.25" x14ac:dyDescent="0.3">
      <c r="A48" s="38">
        <v>1</v>
      </c>
      <c r="B48" s="106" t="s">
        <v>321</v>
      </c>
      <c r="C48" s="107"/>
      <c r="D48" s="107"/>
      <c r="E48" s="107"/>
      <c r="F48" s="107"/>
      <c r="G48" s="107"/>
      <c r="H48" s="107"/>
      <c r="I48" s="107"/>
      <c r="J48" s="107"/>
      <c r="K48" s="107"/>
      <c r="L48" s="107"/>
      <c r="M48" s="107"/>
      <c r="N48" s="107"/>
      <c r="O48" s="107"/>
      <c r="P48" s="107"/>
      <c r="Q48" s="107"/>
      <c r="R48" s="107"/>
      <c r="S48" s="108"/>
    </row>
    <row r="49" spans="1:19" ht="20.25" x14ac:dyDescent="0.3">
      <c r="A49" s="38">
        <v>2</v>
      </c>
      <c r="B49" s="106" t="s">
        <v>322</v>
      </c>
      <c r="C49" s="107"/>
      <c r="D49" s="107"/>
      <c r="E49" s="107"/>
      <c r="F49" s="107"/>
      <c r="G49" s="107"/>
      <c r="H49" s="107"/>
      <c r="I49" s="107"/>
      <c r="J49" s="107"/>
      <c r="K49" s="107"/>
      <c r="L49" s="107"/>
      <c r="M49" s="107"/>
      <c r="N49" s="107"/>
      <c r="O49" s="107"/>
      <c r="P49" s="107"/>
      <c r="Q49" s="107"/>
      <c r="R49" s="107"/>
      <c r="S49" s="108"/>
    </row>
    <row r="50" spans="1:19" ht="20.25" x14ac:dyDescent="0.3">
      <c r="A50" s="38">
        <v>3</v>
      </c>
      <c r="B50" s="106" t="s">
        <v>323</v>
      </c>
      <c r="C50" s="107"/>
      <c r="D50" s="107"/>
      <c r="E50" s="107"/>
      <c r="F50" s="107"/>
      <c r="G50" s="107"/>
      <c r="H50" s="107"/>
      <c r="I50" s="107"/>
      <c r="J50" s="107"/>
      <c r="K50" s="107"/>
      <c r="L50" s="107"/>
      <c r="M50" s="107"/>
      <c r="N50" s="107"/>
      <c r="O50" s="107"/>
      <c r="P50" s="107"/>
      <c r="Q50" s="107"/>
      <c r="R50" s="107"/>
      <c r="S50" s="108"/>
    </row>
    <row r="51" spans="1:19" ht="33.75" x14ac:dyDescent="0.25">
      <c r="A51" s="103" t="s">
        <v>324</v>
      </c>
      <c r="B51" s="104"/>
      <c r="C51" s="104"/>
      <c r="D51" s="104"/>
      <c r="E51" s="104"/>
      <c r="F51" s="104"/>
      <c r="G51" s="104"/>
      <c r="H51" s="104"/>
      <c r="I51" s="104"/>
      <c r="J51" s="104"/>
      <c r="K51" s="104"/>
      <c r="L51" s="104"/>
      <c r="M51" s="104"/>
      <c r="N51" s="104"/>
      <c r="O51" s="104"/>
      <c r="P51" s="104"/>
      <c r="Q51" s="104"/>
      <c r="R51" s="104"/>
      <c r="S51" s="105"/>
    </row>
    <row r="52" spans="1:19" ht="20.25" x14ac:dyDescent="0.3">
      <c r="A52" s="38">
        <v>1</v>
      </c>
      <c r="B52" s="106" t="s">
        <v>325</v>
      </c>
      <c r="C52" s="107"/>
      <c r="D52" s="107"/>
      <c r="E52" s="107"/>
      <c r="F52" s="107"/>
      <c r="G52" s="107"/>
      <c r="H52" s="107"/>
      <c r="I52" s="107"/>
      <c r="J52" s="107"/>
      <c r="K52" s="107"/>
      <c r="L52" s="107"/>
      <c r="M52" s="107"/>
      <c r="N52" s="107"/>
      <c r="O52" s="107"/>
      <c r="P52" s="107"/>
      <c r="Q52" s="107"/>
      <c r="R52" s="107"/>
      <c r="S52" s="108"/>
    </row>
    <row r="53" spans="1:19" ht="20.25" x14ac:dyDescent="0.3">
      <c r="A53" s="38">
        <v>2</v>
      </c>
      <c r="B53" s="106" t="s">
        <v>326</v>
      </c>
      <c r="C53" s="107"/>
      <c r="D53" s="107"/>
      <c r="E53" s="107"/>
      <c r="F53" s="107"/>
      <c r="G53" s="107"/>
      <c r="H53" s="107"/>
      <c r="I53" s="107"/>
      <c r="J53" s="107"/>
      <c r="K53" s="107"/>
      <c r="L53" s="107"/>
      <c r="M53" s="107"/>
      <c r="N53" s="107"/>
      <c r="O53" s="107"/>
      <c r="P53" s="107"/>
      <c r="Q53" s="107"/>
      <c r="R53" s="107"/>
      <c r="S53" s="108"/>
    </row>
    <row r="54" spans="1:19" ht="15.75" customHeight="1" x14ac:dyDescent="0.25">
      <c r="A54" s="109">
        <v>3</v>
      </c>
      <c r="B54" s="115" t="s">
        <v>327</v>
      </c>
      <c r="C54" s="116"/>
      <c r="D54" s="116"/>
      <c r="E54" s="116"/>
      <c r="F54" s="116"/>
      <c r="G54" s="116"/>
      <c r="H54" s="116"/>
      <c r="I54" s="116"/>
      <c r="J54" s="116"/>
      <c r="K54" s="116"/>
      <c r="L54" s="116"/>
      <c r="M54" s="116"/>
      <c r="N54" s="116"/>
      <c r="O54" s="116"/>
      <c r="P54" s="116"/>
      <c r="Q54" s="116"/>
      <c r="R54" s="116"/>
      <c r="S54" s="117"/>
    </row>
    <row r="55" spans="1:19" ht="15.75" customHeight="1" x14ac:dyDescent="0.25">
      <c r="A55" s="110"/>
      <c r="B55" s="118"/>
      <c r="C55" s="119"/>
      <c r="D55" s="119"/>
      <c r="E55" s="119"/>
      <c r="F55" s="119"/>
      <c r="G55" s="119"/>
      <c r="H55" s="119"/>
      <c r="I55" s="119"/>
      <c r="J55" s="119"/>
      <c r="K55" s="119"/>
      <c r="L55" s="119"/>
      <c r="M55" s="119"/>
      <c r="N55" s="119"/>
      <c r="O55" s="119"/>
      <c r="P55" s="119"/>
      <c r="Q55" s="119"/>
      <c r="R55" s="119"/>
      <c r="S55" s="120"/>
    </row>
    <row r="56" spans="1:19" ht="53.25" customHeight="1" x14ac:dyDescent="0.25">
      <c r="A56" s="111"/>
      <c r="B56" s="121"/>
      <c r="C56" s="122"/>
      <c r="D56" s="122"/>
      <c r="E56" s="122"/>
      <c r="F56" s="122"/>
      <c r="G56" s="122"/>
      <c r="H56" s="122"/>
      <c r="I56" s="122"/>
      <c r="J56" s="122"/>
      <c r="K56" s="122"/>
      <c r="L56" s="122"/>
      <c r="M56" s="122"/>
      <c r="N56" s="122"/>
      <c r="O56" s="122"/>
      <c r="P56" s="122"/>
      <c r="Q56" s="122"/>
      <c r="R56" s="122"/>
      <c r="S56" s="123"/>
    </row>
    <row r="57" spans="1:19" ht="20.25" x14ac:dyDescent="0.3">
      <c r="A57" s="38">
        <v>4</v>
      </c>
      <c r="B57" s="106" t="s">
        <v>328</v>
      </c>
      <c r="C57" s="107"/>
      <c r="D57" s="107"/>
      <c r="E57" s="107"/>
      <c r="F57" s="107"/>
      <c r="G57" s="107"/>
      <c r="H57" s="107"/>
      <c r="I57" s="107"/>
      <c r="J57" s="107"/>
      <c r="K57" s="107"/>
      <c r="L57" s="107"/>
      <c r="M57" s="107"/>
      <c r="N57" s="107"/>
      <c r="O57" s="107"/>
      <c r="P57" s="107"/>
      <c r="Q57" s="107"/>
      <c r="R57" s="107"/>
      <c r="S57" s="108"/>
    </row>
    <row r="58" spans="1:19" ht="33.75" x14ac:dyDescent="0.25">
      <c r="A58" s="103" t="s">
        <v>410</v>
      </c>
      <c r="B58" s="104"/>
      <c r="C58" s="104"/>
      <c r="D58" s="104"/>
      <c r="E58" s="104"/>
      <c r="F58" s="104"/>
      <c r="G58" s="104"/>
      <c r="H58" s="104"/>
      <c r="I58" s="104"/>
      <c r="J58" s="104"/>
      <c r="K58" s="104"/>
      <c r="L58" s="104"/>
      <c r="M58" s="104"/>
      <c r="N58" s="104"/>
      <c r="O58" s="104"/>
      <c r="P58" s="104"/>
      <c r="Q58" s="104"/>
      <c r="R58" s="104"/>
      <c r="S58" s="105"/>
    </row>
    <row r="59" spans="1:19" ht="15.75" customHeight="1" x14ac:dyDescent="0.25">
      <c r="A59" s="112"/>
      <c r="B59" s="115" t="s">
        <v>330</v>
      </c>
      <c r="C59" s="116"/>
      <c r="D59" s="116"/>
      <c r="E59" s="116"/>
      <c r="F59" s="116"/>
      <c r="G59" s="116"/>
      <c r="H59" s="116"/>
      <c r="I59" s="116"/>
      <c r="J59" s="116"/>
      <c r="K59" s="116"/>
      <c r="L59" s="116"/>
      <c r="M59" s="116"/>
      <c r="N59" s="116"/>
      <c r="O59" s="116"/>
      <c r="P59" s="116"/>
      <c r="Q59" s="116"/>
      <c r="R59" s="116"/>
      <c r="S59" s="117"/>
    </row>
    <row r="60" spans="1:19" ht="15.75" customHeight="1" x14ac:dyDescent="0.25">
      <c r="A60" s="113"/>
      <c r="B60" s="118"/>
      <c r="C60" s="119"/>
      <c r="D60" s="119"/>
      <c r="E60" s="119"/>
      <c r="F60" s="119"/>
      <c r="G60" s="119"/>
      <c r="H60" s="119"/>
      <c r="I60" s="119"/>
      <c r="J60" s="119"/>
      <c r="K60" s="119"/>
      <c r="L60" s="119"/>
      <c r="M60" s="119"/>
      <c r="N60" s="119"/>
      <c r="O60" s="119"/>
      <c r="P60" s="119"/>
      <c r="Q60" s="119"/>
      <c r="R60" s="119"/>
      <c r="S60" s="120"/>
    </row>
    <row r="61" spans="1:19" ht="15.75" customHeight="1" x14ac:dyDescent="0.25">
      <c r="A61" s="114"/>
      <c r="B61" s="121"/>
      <c r="C61" s="122"/>
      <c r="D61" s="122"/>
      <c r="E61" s="122"/>
      <c r="F61" s="122"/>
      <c r="G61" s="122"/>
      <c r="H61" s="122"/>
      <c r="I61" s="122"/>
      <c r="J61" s="122"/>
      <c r="K61" s="122"/>
      <c r="L61" s="122"/>
      <c r="M61" s="122"/>
      <c r="N61" s="122"/>
      <c r="O61" s="122"/>
      <c r="P61" s="122"/>
      <c r="Q61" s="122"/>
      <c r="R61" s="122"/>
      <c r="S61" s="123"/>
    </row>
    <row r="62" spans="1:19" ht="15.75" customHeight="1" x14ac:dyDescent="0.25">
      <c r="A62" s="112"/>
      <c r="B62" s="115" t="s">
        <v>331</v>
      </c>
      <c r="C62" s="116"/>
      <c r="D62" s="116"/>
      <c r="E62" s="116"/>
      <c r="F62" s="116"/>
      <c r="G62" s="116"/>
      <c r="H62" s="116"/>
      <c r="I62" s="116"/>
      <c r="J62" s="116"/>
      <c r="K62" s="116"/>
      <c r="L62" s="116"/>
      <c r="M62" s="116"/>
      <c r="N62" s="116"/>
      <c r="O62" s="116"/>
      <c r="P62" s="116"/>
      <c r="Q62" s="116"/>
      <c r="R62" s="116"/>
      <c r="S62" s="117"/>
    </row>
    <row r="63" spans="1:19" ht="15.75" customHeight="1" x14ac:dyDescent="0.25">
      <c r="A63" s="113"/>
      <c r="B63" s="118"/>
      <c r="C63" s="119"/>
      <c r="D63" s="119"/>
      <c r="E63" s="119"/>
      <c r="F63" s="119"/>
      <c r="G63" s="119"/>
      <c r="H63" s="119"/>
      <c r="I63" s="119"/>
      <c r="J63" s="119"/>
      <c r="K63" s="119"/>
      <c r="L63" s="119"/>
      <c r="M63" s="119"/>
      <c r="N63" s="119"/>
      <c r="O63" s="119"/>
      <c r="P63" s="119"/>
      <c r="Q63" s="119"/>
      <c r="R63" s="119"/>
      <c r="S63" s="120"/>
    </row>
    <row r="64" spans="1:19" ht="15.75" customHeight="1" x14ac:dyDescent="0.25">
      <c r="A64" s="114"/>
      <c r="B64" s="121"/>
      <c r="C64" s="122"/>
      <c r="D64" s="122"/>
      <c r="E64" s="122"/>
      <c r="F64" s="122"/>
      <c r="G64" s="122"/>
      <c r="H64" s="122"/>
      <c r="I64" s="122"/>
      <c r="J64" s="122"/>
      <c r="K64" s="122"/>
      <c r="L64" s="122"/>
      <c r="M64" s="122"/>
      <c r="N64" s="122"/>
      <c r="O64" s="122"/>
      <c r="P64" s="122"/>
      <c r="Q64" s="122"/>
      <c r="R64" s="122"/>
      <c r="S64" s="123"/>
    </row>
    <row r="65" spans="1:19" ht="39" customHeight="1" x14ac:dyDescent="0.25">
      <c r="A65" s="34"/>
      <c r="B65" s="115" t="s">
        <v>411</v>
      </c>
      <c r="C65" s="116"/>
      <c r="D65" s="116"/>
      <c r="E65" s="116"/>
      <c r="F65" s="116"/>
      <c r="G65" s="116"/>
      <c r="H65" s="116"/>
      <c r="I65" s="116"/>
      <c r="J65" s="116"/>
      <c r="K65" s="116"/>
      <c r="L65" s="116"/>
      <c r="M65" s="116"/>
      <c r="N65" s="116"/>
      <c r="O65" s="116"/>
      <c r="P65" s="116"/>
      <c r="Q65" s="116"/>
      <c r="R65" s="116"/>
      <c r="S65" s="117"/>
    </row>
    <row r="66" spans="1:19" ht="46.5" customHeight="1" x14ac:dyDescent="0.25">
      <c r="A66" s="34"/>
      <c r="B66" s="115" t="s">
        <v>412</v>
      </c>
      <c r="C66" s="116"/>
      <c r="D66" s="116"/>
      <c r="E66" s="116"/>
      <c r="F66" s="116"/>
      <c r="G66" s="116"/>
      <c r="H66" s="116"/>
      <c r="I66" s="116"/>
      <c r="J66" s="116"/>
      <c r="K66" s="116"/>
      <c r="L66" s="116"/>
      <c r="M66" s="116"/>
      <c r="N66" s="116"/>
      <c r="O66" s="116"/>
      <c r="P66" s="116"/>
      <c r="Q66" s="116"/>
      <c r="R66" s="116"/>
      <c r="S66" s="117"/>
    </row>
    <row r="67" spans="1:19" ht="33.75" x14ac:dyDescent="0.25">
      <c r="A67" s="103" t="s">
        <v>334</v>
      </c>
      <c r="B67" s="104"/>
      <c r="C67" s="104"/>
      <c r="D67" s="104"/>
      <c r="E67" s="104"/>
      <c r="F67" s="104"/>
      <c r="G67" s="104"/>
      <c r="H67" s="104"/>
      <c r="I67" s="104"/>
      <c r="J67" s="104"/>
      <c r="K67" s="104"/>
      <c r="L67" s="104"/>
      <c r="M67" s="104"/>
      <c r="N67" s="104"/>
      <c r="O67" s="104"/>
      <c r="P67" s="104"/>
      <c r="Q67" s="104"/>
      <c r="R67" s="104"/>
      <c r="S67" s="105"/>
    </row>
    <row r="68" spans="1:19" x14ac:dyDescent="0.25">
      <c r="A68" s="112"/>
      <c r="B68" s="115" t="s">
        <v>335</v>
      </c>
      <c r="C68" s="116"/>
      <c r="D68" s="116"/>
      <c r="E68" s="116"/>
      <c r="F68" s="116"/>
      <c r="G68" s="116"/>
      <c r="H68" s="116"/>
      <c r="I68" s="116"/>
      <c r="J68" s="116"/>
      <c r="K68" s="116"/>
      <c r="L68" s="116"/>
      <c r="M68" s="116"/>
      <c r="N68" s="116"/>
      <c r="O68" s="116"/>
      <c r="P68" s="116"/>
      <c r="Q68" s="116"/>
      <c r="R68" s="116"/>
      <c r="S68" s="117"/>
    </row>
    <row r="69" spans="1:19" ht="20.25" customHeight="1" x14ac:dyDescent="0.25">
      <c r="A69" s="113"/>
      <c r="B69" s="118"/>
      <c r="C69" s="119"/>
      <c r="D69" s="119"/>
      <c r="E69" s="119"/>
      <c r="F69" s="119"/>
      <c r="G69" s="119"/>
      <c r="H69" s="119"/>
      <c r="I69" s="119"/>
      <c r="J69" s="119"/>
      <c r="K69" s="119"/>
      <c r="L69" s="119"/>
      <c r="M69" s="119"/>
      <c r="N69" s="119"/>
      <c r="O69" s="119"/>
      <c r="P69" s="119"/>
      <c r="Q69" s="119"/>
      <c r="R69" s="119"/>
      <c r="S69" s="120"/>
    </row>
    <row r="70" spans="1:19" ht="15.75" customHeight="1" x14ac:dyDescent="0.25">
      <c r="A70" s="113"/>
      <c r="B70" s="118"/>
      <c r="C70" s="119"/>
      <c r="D70" s="119"/>
      <c r="E70" s="119"/>
      <c r="F70" s="119"/>
      <c r="G70" s="119"/>
      <c r="H70" s="119"/>
      <c r="I70" s="119"/>
      <c r="J70" s="119"/>
      <c r="K70" s="119"/>
      <c r="L70" s="119"/>
      <c r="M70" s="119"/>
      <c r="N70" s="119"/>
      <c r="O70" s="119"/>
      <c r="P70" s="119"/>
      <c r="Q70" s="119"/>
      <c r="R70" s="119"/>
      <c r="S70" s="120"/>
    </row>
    <row r="71" spans="1:19" ht="41.25" customHeight="1" x14ac:dyDescent="0.25">
      <c r="A71" s="114"/>
      <c r="B71" s="121"/>
      <c r="C71" s="122"/>
      <c r="D71" s="122"/>
      <c r="E71" s="122"/>
      <c r="F71" s="122"/>
      <c r="G71" s="122"/>
      <c r="H71" s="122"/>
      <c r="I71" s="122"/>
      <c r="J71" s="122"/>
      <c r="K71" s="122"/>
      <c r="L71" s="122"/>
      <c r="M71" s="122"/>
      <c r="N71" s="122"/>
      <c r="O71" s="122"/>
      <c r="P71" s="122"/>
      <c r="Q71" s="122"/>
      <c r="R71" s="122"/>
      <c r="S71" s="123"/>
    </row>
    <row r="72" spans="1:19" ht="15.75" customHeight="1" x14ac:dyDescent="0.25">
      <c r="A72" s="33"/>
      <c r="B72" s="33"/>
      <c r="C72" s="33"/>
      <c r="D72" s="33"/>
      <c r="E72" s="33"/>
      <c r="F72" s="33"/>
      <c r="G72" s="33"/>
      <c r="H72" s="33"/>
      <c r="I72" s="33"/>
      <c r="J72" s="33"/>
      <c r="K72" s="33"/>
      <c r="L72" s="33"/>
      <c r="M72" s="33"/>
      <c r="N72" s="33"/>
      <c r="O72" s="33"/>
      <c r="P72" s="33"/>
      <c r="Q72" s="33"/>
      <c r="R72" s="33"/>
      <c r="S72" s="33"/>
    </row>
    <row r="73" spans="1:19" x14ac:dyDescent="0.25">
      <c r="A73" s="33"/>
      <c r="B73" s="33"/>
      <c r="C73" s="33"/>
      <c r="D73" s="33"/>
      <c r="E73" s="33"/>
      <c r="F73" s="33"/>
      <c r="G73" s="33"/>
      <c r="H73" s="33"/>
      <c r="I73" s="33"/>
      <c r="J73" s="33"/>
      <c r="K73" s="33"/>
      <c r="L73" s="33"/>
      <c r="M73" s="33"/>
      <c r="N73" s="33"/>
      <c r="O73" s="33"/>
      <c r="P73" s="33"/>
      <c r="Q73" s="33"/>
      <c r="R73" s="33"/>
      <c r="S73" s="33"/>
    </row>
    <row r="77" spans="1:19" ht="15.75" customHeight="1" x14ac:dyDescent="0.25"/>
    <row r="78" spans="1:19" ht="15.75" customHeight="1" x14ac:dyDescent="0.25"/>
    <row r="79" spans="1:19" ht="15.75" customHeight="1" x14ac:dyDescent="0.25"/>
    <row r="80" spans="1:19" ht="15.75" customHeight="1" x14ac:dyDescent="0.25"/>
    <row r="81" ht="15.75" customHeight="1" x14ac:dyDescent="0.25"/>
    <row r="82" ht="15.75" customHeight="1" x14ac:dyDescent="0.25"/>
    <row r="83" ht="15.75" customHeight="1" x14ac:dyDescent="0.25"/>
    <row r="84" ht="15.75" customHeight="1" x14ac:dyDescent="0.25"/>
    <row r="85" ht="20.25" customHeight="1" x14ac:dyDescent="0.25"/>
    <row r="86" ht="32.25" customHeight="1" x14ac:dyDescent="0.25"/>
    <row r="87" ht="49.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9" ht="20.25" customHeight="1" x14ac:dyDescent="0.25"/>
    <row r="100" ht="20.25" customHeight="1" x14ac:dyDescent="0.25"/>
    <row r="101" ht="20.25" customHeight="1" x14ac:dyDescent="0.25"/>
    <row r="103" ht="15.75" customHeight="1" x14ac:dyDescent="0.25"/>
    <row r="105" ht="15.75" customHeight="1" x14ac:dyDescent="0.25"/>
    <row r="107" ht="15.75" customHeight="1" x14ac:dyDescent="0.25"/>
  </sheetData>
  <mergeCells count="51">
    <mergeCell ref="B27:B29"/>
    <mergeCell ref="C27:S29"/>
    <mergeCell ref="B33:B35"/>
    <mergeCell ref="C33:S35"/>
    <mergeCell ref="A39:S41"/>
    <mergeCell ref="C36:S38"/>
    <mergeCell ref="B36:B38"/>
    <mergeCell ref="B30:B32"/>
    <mergeCell ref="C30:S32"/>
    <mergeCell ref="A14:A16"/>
    <mergeCell ref="B14:B16"/>
    <mergeCell ref="C14:S16"/>
    <mergeCell ref="A17:S19"/>
    <mergeCell ref="B5:B7"/>
    <mergeCell ref="A1:S1"/>
    <mergeCell ref="A36:A38"/>
    <mergeCell ref="A30:A32"/>
    <mergeCell ref="A33:A35"/>
    <mergeCell ref="A27:A29"/>
    <mergeCell ref="A20:A22"/>
    <mergeCell ref="A26:S26"/>
    <mergeCell ref="C20:S22"/>
    <mergeCell ref="C11:S13"/>
    <mergeCell ref="A8:S10"/>
    <mergeCell ref="A2:S4"/>
    <mergeCell ref="B20:B22"/>
    <mergeCell ref="A11:A13"/>
    <mergeCell ref="B11:B13"/>
    <mergeCell ref="C5:S7"/>
    <mergeCell ref="A5:A7"/>
    <mergeCell ref="A68:A71"/>
    <mergeCell ref="B68:S71"/>
    <mergeCell ref="B65:S65"/>
    <mergeCell ref="B66:S66"/>
    <mergeCell ref="B52:S52"/>
    <mergeCell ref="B53:S53"/>
    <mergeCell ref="B54:S56"/>
    <mergeCell ref="B57:S57"/>
    <mergeCell ref="A44:S44"/>
    <mergeCell ref="A67:S67"/>
    <mergeCell ref="A47:S47"/>
    <mergeCell ref="B48:S48"/>
    <mergeCell ref="B49:S49"/>
    <mergeCell ref="B50:S50"/>
    <mergeCell ref="A51:S51"/>
    <mergeCell ref="A54:A56"/>
    <mergeCell ref="A58:S58"/>
    <mergeCell ref="A59:A61"/>
    <mergeCell ref="B59:S61"/>
    <mergeCell ref="A62:A64"/>
    <mergeCell ref="B62:S64"/>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9"/>
  <sheetViews>
    <sheetView workbookViewId="0">
      <selection activeCell="E20" sqref="E20"/>
    </sheetView>
  </sheetViews>
  <sheetFormatPr defaultColWidth="8.85546875" defaultRowHeight="15" x14ac:dyDescent="0.25"/>
  <cols>
    <col min="1" max="1" width="13.28515625" style="1" bestFit="1" customWidth="1"/>
    <col min="2" max="12" width="22.7109375" style="1" customWidth="1"/>
    <col min="13" max="13" width="9.140625" style="1" bestFit="1" customWidth="1"/>
    <col min="14" max="16384" width="8.85546875" style="1"/>
  </cols>
  <sheetData>
    <row r="1" spans="2:12" ht="15.75" x14ac:dyDescent="0.25">
      <c r="B1" s="65" t="s">
        <v>901</v>
      </c>
      <c r="C1" s="66"/>
      <c r="D1" s="66"/>
      <c r="E1" s="66"/>
      <c r="F1" s="66"/>
      <c r="G1" s="66"/>
      <c r="H1" s="66"/>
      <c r="I1" s="66"/>
      <c r="J1" s="66"/>
      <c r="K1" s="66"/>
      <c r="L1" s="66"/>
    </row>
    <row r="2" spans="2:12" ht="30" x14ac:dyDescent="0.25">
      <c r="B2" s="46" t="s">
        <v>862</v>
      </c>
      <c r="C2" s="47" t="s">
        <v>863</v>
      </c>
      <c r="D2" s="47" t="s">
        <v>864</v>
      </c>
      <c r="E2" s="47" t="s">
        <v>865</v>
      </c>
      <c r="F2" s="47" t="s">
        <v>866</v>
      </c>
      <c r="G2" s="47" t="s">
        <v>867</v>
      </c>
      <c r="H2" s="47" t="s">
        <v>868</v>
      </c>
      <c r="I2" s="46" t="s">
        <v>869</v>
      </c>
      <c r="J2" s="46" t="s">
        <v>746</v>
      </c>
      <c r="K2" s="46" t="s">
        <v>870</v>
      </c>
      <c r="L2" s="46" t="s">
        <v>871</v>
      </c>
    </row>
    <row r="3" spans="2:12" x14ac:dyDescent="0.25">
      <c r="B3" s="48" t="s">
        <v>872</v>
      </c>
      <c r="C3" s="49" t="s">
        <v>873</v>
      </c>
      <c r="D3" s="49" t="s">
        <v>874</v>
      </c>
      <c r="E3" s="61" t="s">
        <v>875</v>
      </c>
      <c r="F3" s="61" t="s">
        <v>876</v>
      </c>
      <c r="G3" s="49" t="s">
        <v>877</v>
      </c>
      <c r="H3" s="49" t="s">
        <v>878</v>
      </c>
      <c r="I3" s="61" t="s">
        <v>879</v>
      </c>
      <c r="J3" s="49" t="s">
        <v>756</v>
      </c>
      <c r="K3" s="61" t="s">
        <v>757</v>
      </c>
      <c r="L3" s="49" t="s">
        <v>880</v>
      </c>
    </row>
    <row r="4" spans="2:12" x14ac:dyDescent="0.25">
      <c r="B4" s="48" t="s">
        <v>881</v>
      </c>
      <c r="C4" s="49">
        <v>4</v>
      </c>
      <c r="D4" s="49">
        <v>4</v>
      </c>
      <c r="E4" s="61">
        <v>4</v>
      </c>
      <c r="F4" s="61">
        <v>4</v>
      </c>
      <c r="G4" s="49">
        <v>4</v>
      </c>
      <c r="H4" s="49">
        <v>4</v>
      </c>
      <c r="I4" s="61">
        <v>4060</v>
      </c>
      <c r="J4" s="49">
        <v>4</v>
      </c>
      <c r="K4" s="61">
        <v>4</v>
      </c>
      <c r="L4" s="49">
        <v>4</v>
      </c>
    </row>
    <row r="5" spans="2:12" x14ac:dyDescent="0.25">
      <c r="B5" s="48" t="s">
        <v>882</v>
      </c>
      <c r="C5" s="49" t="s">
        <v>897</v>
      </c>
      <c r="D5" s="49" t="s">
        <v>884</v>
      </c>
      <c r="E5" s="61" t="s">
        <v>898</v>
      </c>
      <c r="F5" s="61" t="s">
        <v>886</v>
      </c>
      <c r="G5" s="49" t="s">
        <v>899</v>
      </c>
      <c r="H5" s="49" t="s">
        <v>888</v>
      </c>
      <c r="I5" s="61" t="s">
        <v>889</v>
      </c>
      <c r="J5" s="49" t="s">
        <v>890</v>
      </c>
      <c r="K5" s="61" t="s">
        <v>891</v>
      </c>
      <c r="L5" s="49" t="s">
        <v>892</v>
      </c>
    </row>
    <row r="6" spans="2:12" ht="47.25" x14ac:dyDescent="0.25">
      <c r="B6" s="48" t="s">
        <v>893</v>
      </c>
      <c r="C6" s="50" t="s">
        <v>894</v>
      </c>
      <c r="D6" s="51"/>
      <c r="E6" s="52"/>
      <c r="F6" s="2"/>
      <c r="G6" s="52"/>
      <c r="H6" s="51"/>
      <c r="I6" s="2"/>
      <c r="J6" s="51" t="s">
        <v>895</v>
      </c>
      <c r="K6" s="2" t="s">
        <v>896</v>
      </c>
      <c r="L6" s="51"/>
    </row>
    <row r="7" spans="2:12" ht="15.75" x14ac:dyDescent="0.25">
      <c r="B7" s="146" t="s">
        <v>900</v>
      </c>
      <c r="C7" s="147"/>
      <c r="D7" s="147"/>
      <c r="E7" s="147"/>
      <c r="F7" s="147"/>
      <c r="G7" s="147"/>
      <c r="H7" s="147"/>
      <c r="I7" s="147"/>
      <c r="J7" s="147"/>
      <c r="K7" s="147"/>
      <c r="L7" s="147"/>
    </row>
    <row r="8" spans="2:12" ht="30" x14ac:dyDescent="0.25">
      <c r="B8" s="46" t="s">
        <v>862</v>
      </c>
      <c r="C8" s="47" t="s">
        <v>863</v>
      </c>
      <c r="D8" s="47" t="s">
        <v>864</v>
      </c>
      <c r="E8" s="47" t="s">
        <v>865</v>
      </c>
      <c r="F8" s="47" t="s">
        <v>866</v>
      </c>
      <c r="G8" s="47" t="s">
        <v>867</v>
      </c>
      <c r="H8" s="47" t="s">
        <v>868</v>
      </c>
      <c r="I8" s="46" t="s">
        <v>869</v>
      </c>
      <c r="J8" s="46" t="s">
        <v>746</v>
      </c>
      <c r="K8" s="46" t="s">
        <v>870</v>
      </c>
      <c r="L8" s="46" t="s">
        <v>871</v>
      </c>
    </row>
    <row r="9" spans="2:12" x14ac:dyDescent="0.25">
      <c r="B9" s="48" t="s">
        <v>872</v>
      </c>
      <c r="C9" s="49" t="s">
        <v>873</v>
      </c>
      <c r="D9" s="49" t="s">
        <v>874</v>
      </c>
      <c r="E9" s="61" t="s">
        <v>875</v>
      </c>
      <c r="F9" s="61" t="s">
        <v>876</v>
      </c>
      <c r="G9" s="49" t="s">
        <v>877</v>
      </c>
      <c r="H9" s="49" t="s">
        <v>878</v>
      </c>
      <c r="I9" s="61" t="s">
        <v>879</v>
      </c>
      <c r="J9" s="49" t="s">
        <v>756</v>
      </c>
      <c r="K9" s="61" t="s">
        <v>757</v>
      </c>
      <c r="L9" s="49" t="s">
        <v>880</v>
      </c>
    </row>
    <row r="10" spans="2:12" x14ac:dyDescent="0.25">
      <c r="B10" s="48" t="s">
        <v>881</v>
      </c>
      <c r="C10" s="49">
        <v>4</v>
      </c>
      <c r="D10" s="49">
        <v>4</v>
      </c>
      <c r="E10" s="61">
        <v>4</v>
      </c>
      <c r="F10" s="61">
        <v>4</v>
      </c>
      <c r="G10" s="49">
        <v>4</v>
      </c>
      <c r="H10" s="49">
        <v>4</v>
      </c>
      <c r="I10" s="61">
        <v>4060</v>
      </c>
      <c r="J10" s="49">
        <v>4</v>
      </c>
      <c r="K10" s="61">
        <v>4</v>
      </c>
      <c r="L10" s="49">
        <v>4</v>
      </c>
    </row>
    <row r="11" spans="2:12" ht="15" customHeight="1" x14ac:dyDescent="0.25">
      <c r="B11" s="48" t="s">
        <v>882</v>
      </c>
      <c r="C11" s="49" t="s">
        <v>883</v>
      </c>
      <c r="D11" s="49" t="s">
        <v>884</v>
      </c>
      <c r="E11" s="61" t="s">
        <v>885</v>
      </c>
      <c r="F11" s="61" t="s">
        <v>886</v>
      </c>
      <c r="G11" s="49" t="s">
        <v>887</v>
      </c>
      <c r="H11" s="49" t="s">
        <v>888</v>
      </c>
      <c r="I11" s="61" t="s">
        <v>889</v>
      </c>
      <c r="J11" s="49" t="s">
        <v>890</v>
      </c>
      <c r="K11" s="61" t="s">
        <v>891</v>
      </c>
      <c r="L11" s="49" t="s">
        <v>892</v>
      </c>
    </row>
    <row r="12" spans="2:12" ht="15" customHeight="1" x14ac:dyDescent="0.25">
      <c r="B12" s="48" t="s">
        <v>893</v>
      </c>
      <c r="C12" s="50" t="s">
        <v>894</v>
      </c>
      <c r="D12" s="51"/>
      <c r="E12" s="52"/>
      <c r="F12" s="2"/>
      <c r="G12" s="52"/>
      <c r="H12" s="51"/>
      <c r="I12" s="2"/>
      <c r="J12" s="51" t="s">
        <v>895</v>
      </c>
      <c r="K12" s="2" t="s">
        <v>896</v>
      </c>
      <c r="L12" s="51"/>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 customHeight="1" x14ac:dyDescent="0.25"/>
    <row r="24" ht="15" customHeight="1" x14ac:dyDescent="0.25"/>
    <row r="25" ht="15" customHeight="1" x14ac:dyDescent="0.25"/>
    <row r="26" ht="15.75" customHeight="1" x14ac:dyDescent="0.25"/>
    <row r="27" ht="15.75" customHeight="1" x14ac:dyDescent="0.25"/>
    <row r="28" ht="15.75" customHeight="1" x14ac:dyDescent="0.25"/>
    <row r="29" ht="15.75" customHeight="1" x14ac:dyDescent="0.25"/>
  </sheetData>
  <mergeCells count="1">
    <mergeCell ref="B7:L7"/>
  </mergeCells>
  <phoneticPr fontId="1" type="noConversion"/>
  <hyperlinks>
    <hyperlink ref="C12" location="MP_Sector_Calibration!A1" display="Please refer to MP_Sector_Calibration sheet for details "/>
    <hyperlink ref="C6" location="MP_Sector_Calibration!A1" display="Please refer to MP_Sector_Calibration sheet for details "/>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6"/>
  <sheetViews>
    <sheetView workbookViewId="0">
      <selection sqref="A1:XFD1"/>
    </sheetView>
  </sheetViews>
  <sheetFormatPr defaultColWidth="8.85546875" defaultRowHeight="15" x14ac:dyDescent="0.25"/>
  <cols>
    <col min="1" max="1" width="8.85546875" style="1"/>
    <col min="2" max="9" width="22.7109375" style="1" customWidth="1"/>
    <col min="10" max="19" width="18.7109375" style="1" customWidth="1"/>
    <col min="20" max="16384" width="8.85546875" style="1"/>
  </cols>
  <sheetData>
    <row r="1" spans="2:19" ht="15.75" x14ac:dyDescent="0.25">
      <c r="B1" s="146" t="s">
        <v>805</v>
      </c>
      <c r="C1" s="147"/>
      <c r="D1" s="147"/>
      <c r="E1" s="147"/>
      <c r="F1" s="147"/>
      <c r="G1" s="147"/>
      <c r="H1" s="147"/>
      <c r="I1" s="147"/>
      <c r="J1" s="147"/>
      <c r="K1" s="147"/>
      <c r="L1" s="147"/>
    </row>
    <row r="2" spans="2:19" ht="30" x14ac:dyDescent="0.25">
      <c r="B2" s="46" t="s">
        <v>738</v>
      </c>
      <c r="C2" s="47" t="s">
        <v>739</v>
      </c>
      <c r="D2" s="47" t="s">
        <v>740</v>
      </c>
      <c r="E2" s="47" t="s">
        <v>741</v>
      </c>
      <c r="F2" s="47" t="s">
        <v>742</v>
      </c>
      <c r="G2" s="47" t="s">
        <v>743</v>
      </c>
      <c r="H2" s="47" t="s">
        <v>744</v>
      </c>
      <c r="I2" s="46" t="s">
        <v>745</v>
      </c>
      <c r="J2" s="46" t="s">
        <v>746</v>
      </c>
      <c r="K2" s="46" t="s">
        <v>747</v>
      </c>
      <c r="L2" s="46" t="s">
        <v>748</v>
      </c>
    </row>
    <row r="3" spans="2:19" x14ac:dyDescent="0.25">
      <c r="B3" s="48" t="s">
        <v>71</v>
      </c>
      <c r="C3" s="49" t="s">
        <v>749</v>
      </c>
      <c r="D3" s="49" t="s">
        <v>750</v>
      </c>
      <c r="E3" s="30" t="s">
        <v>751</v>
      </c>
      <c r="F3" s="30" t="s">
        <v>752</v>
      </c>
      <c r="G3" s="49" t="s">
        <v>753</v>
      </c>
      <c r="H3" s="49" t="s">
        <v>754</v>
      </c>
      <c r="I3" s="30" t="s">
        <v>755</v>
      </c>
      <c r="J3" s="49" t="s">
        <v>756</v>
      </c>
      <c r="K3" s="30" t="s">
        <v>757</v>
      </c>
      <c r="L3" s="49" t="s">
        <v>758</v>
      </c>
    </row>
    <row r="4" spans="2:19" x14ac:dyDescent="0.25">
      <c r="B4" s="48" t="s">
        <v>72</v>
      </c>
      <c r="C4" s="49">
        <v>4</v>
      </c>
      <c r="D4" s="49">
        <v>4</v>
      </c>
      <c r="E4" s="30">
        <v>4</v>
      </c>
      <c r="F4" s="30">
        <v>4</v>
      </c>
      <c r="G4" s="49">
        <v>4</v>
      </c>
      <c r="H4" s="49">
        <v>4</v>
      </c>
      <c r="I4" s="30">
        <v>6</v>
      </c>
      <c r="J4" s="49">
        <v>4</v>
      </c>
      <c r="K4" s="30">
        <v>4</v>
      </c>
      <c r="L4" s="49">
        <v>4</v>
      </c>
    </row>
    <row r="5" spans="2:19" x14ac:dyDescent="0.25">
      <c r="B5" s="48" t="s">
        <v>759</v>
      </c>
      <c r="C5" s="49" t="s">
        <v>802</v>
      </c>
      <c r="D5" s="49" t="s">
        <v>760</v>
      </c>
      <c r="E5" s="30" t="s">
        <v>761</v>
      </c>
      <c r="F5" s="30" t="s">
        <v>762</v>
      </c>
      <c r="G5" s="49" t="s">
        <v>763</v>
      </c>
      <c r="H5" s="49" t="s">
        <v>764</v>
      </c>
      <c r="I5" s="30" t="s">
        <v>765</v>
      </c>
      <c r="J5" s="49" t="s">
        <v>772</v>
      </c>
      <c r="K5" s="30" t="s">
        <v>771</v>
      </c>
      <c r="L5" s="49" t="s">
        <v>766</v>
      </c>
    </row>
    <row r="6" spans="2:19" ht="47.25" x14ac:dyDescent="0.25">
      <c r="B6" s="48" t="s">
        <v>767</v>
      </c>
      <c r="C6" s="50" t="s">
        <v>768</v>
      </c>
      <c r="D6" s="51"/>
      <c r="E6" s="52" t="s">
        <v>769</v>
      </c>
      <c r="F6" s="2"/>
      <c r="G6" s="52" t="s">
        <v>770</v>
      </c>
      <c r="H6" s="51"/>
      <c r="I6" s="2"/>
      <c r="J6" s="51"/>
      <c r="K6" s="2"/>
      <c r="L6" s="51"/>
    </row>
    <row r="10" spans="2:19" ht="20.100000000000001" customHeight="1" x14ac:dyDescent="0.25">
      <c r="N10" s="54"/>
      <c r="O10" s="54"/>
      <c r="P10" s="54"/>
      <c r="Q10" s="54"/>
      <c r="R10" s="54"/>
      <c r="S10" s="55"/>
    </row>
    <row r="11" spans="2:19" ht="20.100000000000001" customHeight="1" x14ac:dyDescent="0.25">
      <c r="B11" s="146" t="s">
        <v>804</v>
      </c>
      <c r="C11" s="147"/>
      <c r="D11" s="147"/>
      <c r="E11" s="147"/>
      <c r="F11" s="147"/>
      <c r="G11" s="147"/>
      <c r="H11" s="147"/>
      <c r="I11" s="147"/>
      <c r="J11" s="147"/>
      <c r="K11" s="147"/>
      <c r="L11" s="147"/>
      <c r="N11" s="54"/>
      <c r="O11" s="54"/>
      <c r="P11" s="54"/>
      <c r="Q11" s="54"/>
      <c r="R11" s="54"/>
      <c r="S11" s="55"/>
    </row>
    <row r="12" spans="2:19" ht="30" x14ac:dyDescent="0.25">
      <c r="B12" s="46" t="s">
        <v>738</v>
      </c>
      <c r="C12" s="47" t="s">
        <v>739</v>
      </c>
      <c r="D12" s="47" t="s">
        <v>740</v>
      </c>
      <c r="E12" s="47" t="s">
        <v>741</v>
      </c>
      <c r="F12" s="47" t="s">
        <v>742</v>
      </c>
      <c r="G12" s="47" t="s">
        <v>743</v>
      </c>
      <c r="H12" s="47" t="s">
        <v>744</v>
      </c>
      <c r="I12" s="46" t="s">
        <v>745</v>
      </c>
      <c r="J12" s="46" t="s">
        <v>746</v>
      </c>
      <c r="K12" s="46" t="s">
        <v>747</v>
      </c>
      <c r="L12" s="46" t="s">
        <v>748</v>
      </c>
    </row>
    <row r="13" spans="2:19" x14ac:dyDescent="0.25">
      <c r="B13" s="48" t="s">
        <v>71</v>
      </c>
      <c r="C13" s="49" t="s">
        <v>749</v>
      </c>
      <c r="D13" s="49" t="s">
        <v>750</v>
      </c>
      <c r="E13" s="60" t="s">
        <v>751</v>
      </c>
      <c r="F13" s="60" t="s">
        <v>752</v>
      </c>
      <c r="G13" s="49" t="s">
        <v>753</v>
      </c>
      <c r="H13" s="49" t="s">
        <v>754</v>
      </c>
      <c r="I13" s="60" t="s">
        <v>755</v>
      </c>
      <c r="J13" s="49" t="s">
        <v>756</v>
      </c>
      <c r="K13" s="60" t="s">
        <v>757</v>
      </c>
      <c r="L13" s="49" t="s">
        <v>758</v>
      </c>
    </row>
    <row r="14" spans="2:19" x14ac:dyDescent="0.25">
      <c r="B14" s="48" t="s">
        <v>72</v>
      </c>
      <c r="C14" s="49">
        <v>4</v>
      </c>
      <c r="D14" s="49">
        <v>4</v>
      </c>
      <c r="E14" s="60">
        <v>4</v>
      </c>
      <c r="F14" s="60">
        <v>4</v>
      </c>
      <c r="G14" s="49">
        <v>4</v>
      </c>
      <c r="H14" s="49">
        <v>4</v>
      </c>
      <c r="I14" s="60">
        <v>6</v>
      </c>
      <c r="J14" s="49">
        <v>4</v>
      </c>
      <c r="K14" s="60">
        <v>4</v>
      </c>
      <c r="L14" s="49">
        <v>4</v>
      </c>
    </row>
    <row r="15" spans="2:19" x14ac:dyDescent="0.25">
      <c r="B15" s="48" t="s">
        <v>590</v>
      </c>
      <c r="C15" s="49" t="s">
        <v>803</v>
      </c>
      <c r="D15" s="49" t="s">
        <v>760</v>
      </c>
      <c r="E15" s="60" t="s">
        <v>806</v>
      </c>
      <c r="F15" s="60" t="s">
        <v>762</v>
      </c>
      <c r="G15" s="49" t="s">
        <v>807</v>
      </c>
      <c r="H15" s="49" t="s">
        <v>764</v>
      </c>
      <c r="I15" s="60" t="s">
        <v>765</v>
      </c>
      <c r="J15" s="49" t="s">
        <v>772</v>
      </c>
      <c r="K15" s="60" t="s">
        <v>771</v>
      </c>
      <c r="L15" s="49" t="s">
        <v>766</v>
      </c>
    </row>
    <row r="16" spans="2:19" ht="47.25" x14ac:dyDescent="0.25">
      <c r="B16" s="48" t="s">
        <v>74</v>
      </c>
      <c r="C16" s="50" t="s">
        <v>768</v>
      </c>
      <c r="D16" s="51"/>
      <c r="E16" s="52" t="s">
        <v>769</v>
      </c>
      <c r="F16" s="2"/>
      <c r="G16" s="52" t="s">
        <v>770</v>
      </c>
      <c r="H16" s="51"/>
      <c r="I16" s="2"/>
      <c r="J16" s="51"/>
      <c r="K16" s="2"/>
      <c r="L16" s="51"/>
    </row>
  </sheetData>
  <mergeCells count="2">
    <mergeCell ref="B1:L1"/>
    <mergeCell ref="B11:L11"/>
  </mergeCells>
  <phoneticPr fontId="1" type="noConversion"/>
  <hyperlinks>
    <hyperlink ref="E6" location="MP_Sector_BLE!A1" display="MP_Sector_BLE!A1"/>
    <hyperlink ref="C6" location="MP_Sector_Calibration!A1" display="Please refer to MP_Sector_Calibration sheet for details "/>
    <hyperlink ref="G6" location="MP_Sector_Zigbee!A1" display="MP_Sector_Zigbee!A1"/>
    <hyperlink ref="E16" location="MP_Sector_BLE!A1" display="MP_Sector_BLE!A1"/>
    <hyperlink ref="C16" location="MP_Sector_Calibration!A1" display="Please refer to MP_Sector_Calibration sheet for details "/>
    <hyperlink ref="G16" location="MP_Sector_Zigbee!A1" display="MP_Sector_Zigbee!A1"/>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Summary</vt:lpstr>
      <vt:lpstr>RT584_Flash_Layout</vt:lpstr>
      <vt:lpstr>RT58x_Flash_Layout</vt:lpstr>
      <vt:lpstr>RT58x_Calibration data(4K)</vt:lpstr>
      <vt:lpstr>RT584_Security_page</vt:lpstr>
      <vt:lpstr>RT58x_Security_page</vt:lpstr>
      <vt:lpstr>RT584_PMU_Default_Setting</vt:lpstr>
      <vt:lpstr>RT584_OTP_1_and_OTP2_layout</vt:lpstr>
      <vt:lpstr>RT58x_Mpsector_Info</vt:lpstr>
      <vt:lpstr>RT584_Mpsector_Info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2025-10-20T07:09:25Z</dcterms:modified>
</cp:coreProperties>
</file>